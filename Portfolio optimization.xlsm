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Ši_darbgramata" defaultThemeVersion="124226"/>
  <bookViews>
    <workbookView xWindow="14100" yWindow="72" windowWidth="18216" windowHeight="7956"/>
  </bookViews>
  <sheets>
    <sheet name="Portfolio" sheetId="1" r:id="rId1"/>
    <sheet name="Time series" sheetId="3" r:id="rId2"/>
    <sheet name="Returns" sheetId="4" r:id="rId3"/>
    <sheet name="Covariance" sheetId="2" r:id="rId4"/>
    <sheet name="Efficient frontier" sheetId="6" r:id="rId5"/>
  </sheets>
  <functionGroups/>
  <definedNames>
    <definedName name="solver_adj" localSheetId="0" hidden="1">Portfolio!#REF!</definedName>
    <definedName name="solver_cvg" localSheetId="0" hidden="1">0.0001</definedName>
    <definedName name="solver_drv" localSheetId="0" hidden="1">2</definedName>
    <definedName name="solver_est" localSheetId="0" hidden="1">1</definedName>
    <definedName name="solver_itr" localSheetId="0" hidden="1">100</definedName>
    <definedName name="solver_lhs1" localSheetId="0" hidden="1">Portfolio!#REF!</definedName>
    <definedName name="solver_lhs2" localSheetId="0" hidden="1">Portfolio!#REF!</definedName>
    <definedName name="solver_lin" localSheetId="0" hidden="1">2</definedName>
    <definedName name="solver_neg" localSheetId="0" hidden="1">1</definedName>
    <definedName name="solver_num" localSheetId="0" hidden="1">2</definedName>
    <definedName name="solver_nwt" localSheetId="0" hidden="1">1</definedName>
    <definedName name="solver_opt" localSheetId="0" hidden="1">Portfolio!#REF!</definedName>
    <definedName name="solver_pre" localSheetId="0" hidden="1">0.000001</definedName>
    <definedName name="solver_rel1" localSheetId="0" hidden="1">2</definedName>
    <definedName name="solver_rel2" localSheetId="0" hidden="1">3</definedName>
    <definedName name="solver_rhs1" localSheetId="0" hidden="1">1</definedName>
    <definedName name="solver_rhs2" localSheetId="0" hidden="1">Portfolio!#REF!</definedName>
    <definedName name="solver_scl" localSheetId="0" hidden="1">1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25725"/>
</workbook>
</file>

<file path=xl/calcChain.xml><?xml version="1.0" encoding="utf-8"?>
<calcChain xmlns="http://schemas.openxmlformats.org/spreadsheetml/2006/main">
  <c r="M2" i="6"/>
  <c r="N2" s="1"/>
  <c r="K3" s="1"/>
  <c r="N3" l="1"/>
  <c r="M3"/>
  <c r="L3"/>
  <c r="JI58" i="1" l="1"/>
  <c r="JH58"/>
  <c r="JG58"/>
  <c r="JF58"/>
  <c r="JE58"/>
  <c r="JD58"/>
  <c r="JC58"/>
  <c r="JB58"/>
  <c r="JA58"/>
  <c r="IZ58"/>
  <c r="IY58"/>
  <c r="IX58"/>
  <c r="IW58"/>
  <c r="IV58"/>
  <c r="IU58"/>
  <c r="IT58"/>
  <c r="IS58"/>
  <c r="IR58"/>
  <c r="IQ58"/>
  <c r="IP58"/>
  <c r="IO58"/>
  <c r="IN58"/>
  <c r="IM58"/>
  <c r="IL58"/>
  <c r="IK58"/>
  <c r="IJ58"/>
  <c r="II58"/>
  <c r="IH58"/>
  <c r="IG58"/>
  <c r="IF58"/>
  <c r="IE58"/>
  <c r="ID58"/>
  <c r="IC58"/>
  <c r="IB58"/>
  <c r="IA58"/>
  <c r="HZ58"/>
  <c r="HY58"/>
  <c r="HX58"/>
  <c r="HW58"/>
  <c r="HV58"/>
  <c r="HU58"/>
  <c r="HT58"/>
  <c r="HS58"/>
  <c r="HR58"/>
  <c r="HQ58"/>
  <c r="HP58"/>
  <c r="HO58"/>
  <c r="HN58"/>
  <c r="HM58"/>
  <c r="HL58"/>
  <c r="HK58"/>
  <c r="HJ58"/>
  <c r="HI58"/>
  <c r="HH58"/>
  <c r="HG58"/>
  <c r="HF58"/>
  <c r="HE58"/>
  <c r="HD58"/>
  <c r="HC58"/>
  <c r="HB58"/>
  <c r="HA58"/>
  <c r="GZ58"/>
  <c r="GY58"/>
  <c r="GX58"/>
  <c r="GW58"/>
  <c r="GV58"/>
  <c r="GU58"/>
  <c r="GT58"/>
  <c r="GS58"/>
  <c r="GR58"/>
  <c r="GQ58"/>
  <c r="GP58"/>
  <c r="GO58"/>
  <c r="GN58"/>
  <c r="GM58"/>
  <c r="GL58"/>
  <c r="GK58"/>
  <c r="GJ58"/>
  <c r="GI58"/>
  <c r="GH58"/>
  <c r="GG58"/>
  <c r="GF58"/>
  <c r="GE58"/>
  <c r="GD58"/>
  <c r="GC58"/>
  <c r="GB58"/>
  <c r="GA58"/>
  <c r="FZ58"/>
  <c r="FY58"/>
  <c r="FX58"/>
  <c r="FW58"/>
  <c r="FV58"/>
  <c r="FU58"/>
  <c r="FT58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O55"/>
  <c r="O54"/>
  <c r="O53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5"/>
  <c r="O4"/>
  <c r="O3"/>
  <c r="O2"/>
  <c r="O6"/>
  <c r="B58" l="1"/>
  <c r="Q1"/>
  <c r="A59" s="1"/>
  <c r="JF59" l="1"/>
  <c r="JB59"/>
  <c r="IX59"/>
  <c r="IT59"/>
  <c r="IP59"/>
  <c r="IL59"/>
  <c r="IH59"/>
  <c r="ID59"/>
  <c r="HZ59"/>
  <c r="HV59"/>
  <c r="HR59"/>
  <c r="HN59"/>
  <c r="HJ59"/>
  <c r="HF59"/>
  <c r="HB59"/>
  <c r="GX59"/>
  <c r="GT59"/>
  <c r="GP59"/>
  <c r="GL59"/>
  <c r="GH59"/>
  <c r="GD59"/>
  <c r="FZ59"/>
  <c r="FV59"/>
  <c r="FR59"/>
  <c r="FN59"/>
  <c r="FJ59"/>
  <c r="FF59"/>
  <c r="FB59"/>
  <c r="EX59"/>
  <c r="ET59"/>
  <c r="EP59"/>
  <c r="EL59"/>
  <c r="EH59"/>
  <c r="ED59"/>
  <c r="DZ59"/>
  <c r="DV59"/>
  <c r="DR59"/>
  <c r="DN59"/>
  <c r="DJ59"/>
  <c r="DF59"/>
  <c r="DB59"/>
  <c r="CX59"/>
  <c r="CT59"/>
  <c r="CP59"/>
  <c r="CL59"/>
  <c r="CH59"/>
  <c r="CD59"/>
  <c r="BZ59"/>
  <c r="BV59"/>
  <c r="BR59"/>
  <c r="BN59"/>
  <c r="BJ59"/>
  <c r="BF59"/>
  <c r="BB59"/>
  <c r="AX59"/>
  <c r="AT59"/>
  <c r="AP59"/>
  <c r="AL59"/>
  <c r="AH59"/>
  <c r="AD59"/>
  <c r="Z59"/>
  <c r="V59"/>
  <c r="R59"/>
  <c r="N59"/>
  <c r="J59"/>
  <c r="F59"/>
  <c r="JG59"/>
  <c r="JC59"/>
  <c r="IY59"/>
  <c r="IU59"/>
  <c r="IQ59"/>
  <c r="IM59"/>
  <c r="II59"/>
  <c r="IE59"/>
  <c r="IA59"/>
  <c r="HW59"/>
  <c r="HS59"/>
  <c r="HO59"/>
  <c r="HK59"/>
  <c r="HG59"/>
  <c r="HC59"/>
  <c r="GY59"/>
  <c r="GU59"/>
  <c r="GQ59"/>
  <c r="GM59"/>
  <c r="GI59"/>
  <c r="GE59"/>
  <c r="GA59"/>
  <c r="FW59"/>
  <c r="FS59"/>
  <c r="FO59"/>
  <c r="FK59"/>
  <c r="FG59"/>
  <c r="FC59"/>
  <c r="EY59"/>
  <c r="EU59"/>
  <c r="EQ59"/>
  <c r="EM59"/>
  <c r="EI59"/>
  <c r="EE59"/>
  <c r="EA59"/>
  <c r="DW59"/>
  <c r="DS59"/>
  <c r="DO59"/>
  <c r="DK59"/>
  <c r="DG59"/>
  <c r="DC59"/>
  <c r="CY59"/>
  <c r="CU59"/>
  <c r="CQ59"/>
  <c r="CM59"/>
  <c r="CI59"/>
  <c r="CE59"/>
  <c r="CA59"/>
  <c r="BW59"/>
  <c r="BS59"/>
  <c r="BO59"/>
  <c r="BK59"/>
  <c r="BG59"/>
  <c r="BC59"/>
  <c r="AY59"/>
  <c r="AU59"/>
  <c r="AQ59"/>
  <c r="AM59"/>
  <c r="AI59"/>
  <c r="AE59"/>
  <c r="AA59"/>
  <c r="W59"/>
  <c r="S59"/>
  <c r="O59"/>
  <c r="K59"/>
  <c r="G59"/>
  <c r="C59"/>
  <c r="JH59"/>
  <c r="JD59"/>
  <c r="IZ59"/>
  <c r="IV59"/>
  <c r="IR59"/>
  <c r="IN59"/>
  <c r="IJ59"/>
  <c r="IF59"/>
  <c r="IB59"/>
  <c r="HX59"/>
  <c r="HT59"/>
  <c r="HP59"/>
  <c r="HL59"/>
  <c r="HH59"/>
  <c r="HD59"/>
  <c r="GZ59"/>
  <c r="GV59"/>
  <c r="GR59"/>
  <c r="GN59"/>
  <c r="GJ59"/>
  <c r="GF59"/>
  <c r="GB59"/>
  <c r="FX59"/>
  <c r="FT59"/>
  <c r="FP59"/>
  <c r="FL59"/>
  <c r="FH59"/>
  <c r="FD59"/>
  <c r="EZ59"/>
  <c r="EV59"/>
  <c r="ER59"/>
  <c r="EN59"/>
  <c r="EJ59"/>
  <c r="EF59"/>
  <c r="EB59"/>
  <c r="DX59"/>
  <c r="DT59"/>
  <c r="DP59"/>
  <c r="DL59"/>
  <c r="DH59"/>
  <c r="DD59"/>
  <c r="CZ59"/>
  <c r="CV59"/>
  <c r="CR59"/>
  <c r="CN59"/>
  <c r="CJ59"/>
  <c r="CF59"/>
  <c r="CB59"/>
  <c r="BX59"/>
  <c r="BT59"/>
  <c r="BP59"/>
  <c r="BL59"/>
  <c r="BH59"/>
  <c r="BD59"/>
  <c r="AZ59"/>
  <c r="AV59"/>
  <c r="AR59"/>
  <c r="AN59"/>
  <c r="AJ59"/>
  <c r="AF59"/>
  <c r="AB59"/>
  <c r="X59"/>
  <c r="T59"/>
  <c r="P59"/>
  <c r="L59"/>
  <c r="H59"/>
  <c r="D59"/>
  <c r="JI59"/>
  <c r="JE59"/>
  <c r="JA59"/>
  <c r="IW59"/>
  <c r="IS59"/>
  <c r="IO59"/>
  <c r="IK59"/>
  <c r="IG59"/>
  <c r="IC59"/>
  <c r="HY59"/>
  <c r="HU59"/>
  <c r="HQ59"/>
  <c r="HM59"/>
  <c r="HI59"/>
  <c r="HE59"/>
  <c r="HA59"/>
  <c r="GW59"/>
  <c r="GS59"/>
  <c r="GO59"/>
  <c r="GK59"/>
  <c r="GG59"/>
  <c r="GC59"/>
  <c r="FY59"/>
  <c r="FU59"/>
  <c r="FQ59"/>
  <c r="FM59"/>
  <c r="FI59"/>
  <c r="FE59"/>
  <c r="FA59"/>
  <c r="EW59"/>
  <c r="ES59"/>
  <c r="EO59"/>
  <c r="EK59"/>
  <c r="EG59"/>
  <c r="EC59"/>
  <c r="DY59"/>
  <c r="DU59"/>
  <c r="DQ59"/>
  <c r="DM59"/>
  <c r="DI59"/>
  <c r="DE59"/>
  <c r="DA59"/>
  <c r="CW59"/>
  <c r="CS59"/>
  <c r="CO59"/>
  <c r="CK59"/>
  <c r="CG59"/>
  <c r="CC59"/>
  <c r="BY59"/>
  <c r="BU59"/>
  <c r="BQ59"/>
  <c r="BM59"/>
  <c r="BI59"/>
  <c r="BE59"/>
  <c r="BA59"/>
  <c r="AW59"/>
  <c r="AS59"/>
  <c r="AO59"/>
  <c r="AK59"/>
  <c r="AG59"/>
  <c r="AC59"/>
  <c r="Y59"/>
  <c r="U59"/>
  <c r="Q59"/>
  <c r="M59"/>
  <c r="I59"/>
  <c r="E59"/>
  <c r="B59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5"/>
  <c r="N4"/>
  <c r="N3"/>
  <c r="N2"/>
  <c r="N6"/>
</calcChain>
</file>

<file path=xl/sharedStrings.xml><?xml version="1.0" encoding="utf-8"?>
<sst xmlns="http://schemas.openxmlformats.org/spreadsheetml/2006/main" count="82" uniqueCount="33">
  <si>
    <t>ASML</t>
  </si>
  <si>
    <t>Sharpe ratio, 1 y</t>
  </si>
  <si>
    <t>HAFX4V</t>
  </si>
  <si>
    <t>A2JKSP</t>
  </si>
  <si>
    <t>Yahoo</t>
  </si>
  <si>
    <t>Variance</t>
  </si>
  <si>
    <t>Sharpe ratio</t>
  </si>
  <si>
    <t>Calculated weights</t>
  </si>
  <si>
    <t>Risk tolerance</t>
  </si>
  <si>
    <t>https://www.ariva.de/next_generation_resources_fund-fonds/historische_kurse</t>
  </si>
  <si>
    <t>https://www.ariva.de/thematica_–_future_mobility_retail_usd_acc-fonds/historische_kurse</t>
  </si>
  <si>
    <t>Sharpe</t>
  </si>
  <si>
    <t>Return / year</t>
  </si>
  <si>
    <t>Maximum of Sharpe ratio:</t>
  </si>
  <si>
    <t>Sorted weights</t>
  </si>
  <si>
    <t>Ticker</t>
  </si>
  <si>
    <t>Return (%), 1 y</t>
  </si>
  <si>
    <t>Lower bound</t>
  </si>
  <si>
    <t>Upper bound</t>
  </si>
  <si>
    <t>Variance / year</t>
  </si>
  <si>
    <t>NVD.DE</t>
  </si>
  <si>
    <t>URL</t>
  </si>
  <si>
    <t>Selection:</t>
  </si>
  <si>
    <t>"Random" points:</t>
  </si>
  <si>
    <t>GOOGL</t>
  </si>
  <si>
    <t>A0X8ZS</t>
  </si>
  <si>
    <t>https://www.ariva.de/amundi_etf_leveraged_msci_usa_daily-fonds/historische_kurse</t>
  </si>
  <si>
    <t>FXDE</t>
  </si>
  <si>
    <t>SBER</t>
  </si>
  <si>
    <t>GAZP</t>
  </si>
  <si>
    <t>https://iss.moex.com/iss/history/engines/stock/markets/shares/boards/TQTE/securities/FXDE.json</t>
  </si>
  <si>
    <t>https://iss.moex.com/iss/history/engines/stock/markets/shares/boards/smal/securities/SBER.json</t>
  </si>
  <si>
    <t>https://iss.moex.com/iss/history/engines/stock/markets/shares/boards/smal/securities/GAZP.json</t>
  </si>
</sst>
</file>

<file path=xl/styles.xml><?xml version="1.0" encoding="utf-8"?>
<styleSheet xmlns="http://schemas.openxmlformats.org/spreadsheetml/2006/main">
  <numFmts count="3">
    <numFmt numFmtId="164" formatCode="0.0%"/>
    <numFmt numFmtId="165" formatCode="0.0"/>
    <numFmt numFmtId="166" formatCode="0.0000%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FFFF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164" fontId="0" fillId="0" borderId="0" xfId="1" applyNumberFormat="1" applyFont="1"/>
    <xf numFmtId="0" fontId="0" fillId="0" borderId="0" xfId="1" applyNumberFormat="1" applyFont="1"/>
    <xf numFmtId="9" fontId="0" fillId="0" borderId="0" xfId="1" applyFont="1"/>
    <xf numFmtId="0" fontId="2" fillId="0" borderId="0" xfId="0" applyFont="1"/>
    <xf numFmtId="1" fontId="0" fillId="0" borderId="0" xfId="1" applyNumberFormat="1" applyFont="1"/>
    <xf numFmtId="14" fontId="0" fillId="0" borderId="0" xfId="0" applyNumberFormat="1"/>
    <xf numFmtId="165" fontId="0" fillId="0" borderId="0" xfId="0" applyNumberFormat="1"/>
    <xf numFmtId="0" fontId="0" fillId="0" borderId="0" xfId="0" applyNumberFormat="1"/>
    <xf numFmtId="0" fontId="2" fillId="0" borderId="0" xfId="0" applyNumberFormat="1" applyFont="1"/>
    <xf numFmtId="164" fontId="0" fillId="0" borderId="0" xfId="1" applyNumberFormat="1" applyFont="1" applyAlignment="1">
      <alignment horizontal="left"/>
    </xf>
    <xf numFmtId="0" fontId="0" fillId="0" borderId="0" xfId="0" applyFill="1" applyBorder="1" applyAlignment="1">
      <alignment horizontal="left"/>
    </xf>
    <xf numFmtId="164" fontId="0" fillId="3" borderId="0" xfId="1" applyNumberFormat="1" applyFont="1" applyFill="1" applyBorder="1"/>
    <xf numFmtId="0" fontId="0" fillId="3" borderId="0" xfId="0" applyFill="1" applyBorder="1"/>
    <xf numFmtId="0" fontId="0" fillId="3" borderId="1" xfId="0" applyFill="1" applyBorder="1"/>
    <xf numFmtId="164" fontId="0" fillId="3" borderId="5" xfId="1" applyNumberFormat="1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9" fontId="0" fillId="3" borderId="0" xfId="1" applyFont="1" applyFill="1" applyBorder="1"/>
    <xf numFmtId="9" fontId="0" fillId="3" borderId="1" xfId="1" applyFont="1" applyFill="1" applyBorder="1"/>
    <xf numFmtId="2" fontId="0" fillId="4" borderId="0" xfId="1" applyNumberFormat="1" applyFont="1" applyFill="1" applyBorder="1"/>
    <xf numFmtId="2" fontId="0" fillId="4" borderId="1" xfId="1" applyNumberFormat="1" applyFont="1" applyFill="1" applyBorder="1"/>
    <xf numFmtId="10" fontId="0" fillId="2" borderId="6" xfId="1" applyNumberFormat="1" applyFont="1" applyFill="1" applyBorder="1"/>
    <xf numFmtId="10" fontId="0" fillId="2" borderId="6" xfId="0" applyNumberFormat="1" applyFill="1" applyBorder="1"/>
    <xf numFmtId="10" fontId="0" fillId="2" borderId="8" xfId="0" applyNumberFormat="1" applyFill="1" applyBorder="1"/>
    <xf numFmtId="2" fontId="0" fillId="4" borderId="0" xfId="0" applyNumberFormat="1" applyFill="1"/>
    <xf numFmtId="164" fontId="0" fillId="4" borderId="0" xfId="1" applyNumberFormat="1" applyFont="1" applyFill="1"/>
    <xf numFmtId="0" fontId="0" fillId="5" borderId="2" xfId="0" applyFill="1" applyBorder="1" applyAlignment="1">
      <alignment horizontal="left"/>
    </xf>
    <xf numFmtId="10" fontId="0" fillId="5" borderId="4" xfId="1" applyNumberFormat="1" applyFont="1" applyFill="1" applyBorder="1"/>
    <xf numFmtId="0" fontId="0" fillId="5" borderId="5" xfId="0" applyFill="1" applyBorder="1" applyAlignment="1">
      <alignment horizontal="left"/>
    </xf>
    <xf numFmtId="10" fontId="0" fillId="5" borderId="6" xfId="1" applyNumberFormat="1" applyFont="1" applyFill="1" applyBorder="1"/>
    <xf numFmtId="0" fontId="0" fillId="5" borderId="5" xfId="0" applyFill="1" applyBorder="1"/>
    <xf numFmtId="0" fontId="0" fillId="5" borderId="7" xfId="0" applyFill="1" applyBorder="1"/>
    <xf numFmtId="10" fontId="0" fillId="5" borderId="8" xfId="1" applyNumberFormat="1" applyFont="1" applyFill="1" applyBorder="1"/>
    <xf numFmtId="164" fontId="0" fillId="4" borderId="3" xfId="1" applyNumberFormat="1" applyFont="1" applyFill="1" applyBorder="1"/>
    <xf numFmtId="2" fontId="0" fillId="4" borderId="3" xfId="0" applyNumberFormat="1" applyFill="1" applyBorder="1"/>
    <xf numFmtId="164" fontId="0" fillId="4" borderId="4" xfId="1" applyNumberFormat="1" applyFont="1" applyFill="1" applyBorder="1"/>
    <xf numFmtId="164" fontId="0" fillId="4" borderId="0" xfId="1" applyNumberFormat="1" applyFont="1" applyFill="1" applyBorder="1"/>
    <xf numFmtId="2" fontId="0" fillId="4" borderId="0" xfId="0" applyNumberFormat="1" applyFill="1" applyBorder="1"/>
    <xf numFmtId="164" fontId="0" fillId="4" borderId="6" xfId="1" applyNumberFormat="1" applyFont="1" applyFill="1" applyBorder="1"/>
    <xf numFmtId="164" fontId="0" fillId="4" borderId="1" xfId="1" applyNumberFormat="1" applyFont="1" applyFill="1" applyBorder="1"/>
    <xf numFmtId="2" fontId="0" fillId="4" borderId="1" xfId="0" applyNumberFormat="1" applyFill="1" applyBorder="1"/>
    <xf numFmtId="164" fontId="0" fillId="4" borderId="8" xfId="1" applyNumberFormat="1" applyFont="1" applyFill="1" applyBorder="1"/>
    <xf numFmtId="2" fontId="0" fillId="5" borderId="0" xfId="0" applyNumberFormat="1" applyFill="1"/>
    <xf numFmtId="0" fontId="0" fillId="5" borderId="0" xfId="0" applyFill="1"/>
    <xf numFmtId="164" fontId="0" fillId="5" borderId="0" xfId="1" applyNumberFormat="1" applyFont="1" applyFill="1"/>
    <xf numFmtId="10" fontId="0" fillId="4" borderId="2" xfId="1" applyNumberFormat="1" applyFont="1" applyFill="1" applyBorder="1"/>
    <xf numFmtId="10" fontId="0" fillId="4" borderId="5" xfId="1" applyNumberFormat="1" applyFont="1" applyFill="1" applyBorder="1"/>
    <xf numFmtId="10" fontId="0" fillId="4" borderId="7" xfId="1" applyNumberFormat="1" applyFont="1" applyFill="1" applyBorder="1"/>
    <xf numFmtId="11" fontId="0" fillId="0" borderId="0" xfId="0" applyNumberFormat="1"/>
    <xf numFmtId="0" fontId="0" fillId="0" borderId="0" xfId="0" applyFill="1" applyBorder="1"/>
    <xf numFmtId="164" fontId="0" fillId="0" borderId="0" xfId="1" applyNumberFormat="1" applyFont="1" applyFill="1" applyBorder="1"/>
    <xf numFmtId="2" fontId="0" fillId="0" borderId="0" xfId="0" applyNumberFormat="1" applyFill="1" applyBorder="1"/>
    <xf numFmtId="0" fontId="0" fillId="0" borderId="0" xfId="1" applyNumberFormat="1" applyFont="1" applyFill="1" applyBorder="1"/>
    <xf numFmtId="10" fontId="0" fillId="0" borderId="0" xfId="1" applyNumberFormat="1" applyFont="1" applyFill="1" applyBorder="1"/>
    <xf numFmtId="0" fontId="0" fillId="0" borderId="0" xfId="0" applyFill="1"/>
    <xf numFmtId="164" fontId="0" fillId="0" borderId="0" xfId="1" applyNumberFormat="1" applyFont="1" applyFill="1"/>
    <xf numFmtId="0" fontId="0" fillId="0" borderId="0" xfId="0" applyNumberFormat="1" applyFill="1"/>
    <xf numFmtId="10" fontId="0" fillId="0" borderId="0" xfId="0" applyNumberFormat="1" applyFill="1"/>
    <xf numFmtId="166" fontId="0" fillId="0" borderId="0" xfId="1" applyNumberFormat="1" applyFont="1"/>
  </cellXfs>
  <cellStyles count="2">
    <cellStyle name="Parastais" xfId="0" builtinId="0"/>
    <cellStyle name="Procenti" xfId="1" builtinId="5"/>
  </cellStyles>
  <dxfs count="17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2"/>
          <c:order val="0"/>
          <c:spPr>
            <a:ln>
              <a:noFill/>
            </a:ln>
          </c:spPr>
          <c:marker>
            <c:symbol val="circle"/>
            <c:size val="3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'Efficient frontier'!$G$2:$G$355</c:f>
              <c:numCache>
                <c:formatCode>0.00%</c:formatCode>
                <c:ptCount val="354"/>
                <c:pt idx="0">
                  <c:v>0.1625520861802856</c:v>
                </c:pt>
                <c:pt idx="1">
                  <c:v>0.16456301031943088</c:v>
                </c:pt>
                <c:pt idx="2">
                  <c:v>0.16252786781392925</c:v>
                </c:pt>
                <c:pt idx="3">
                  <c:v>0.1625610190734883</c:v>
                </c:pt>
                <c:pt idx="4">
                  <c:v>0.1632353696716542</c:v>
                </c:pt>
                <c:pt idx="5">
                  <c:v>0.16808713982182977</c:v>
                </c:pt>
                <c:pt idx="6">
                  <c:v>0.16256463847595448</c:v>
                </c:pt>
                <c:pt idx="7">
                  <c:v>0.16259266738730171</c:v>
                </c:pt>
                <c:pt idx="8">
                  <c:v>0.16360078406894041</c:v>
                </c:pt>
                <c:pt idx="9">
                  <c:v>0.18067376074551245</c:v>
                </c:pt>
                <c:pt idx="10">
                  <c:v>0.16269485960227326</c:v>
                </c:pt>
                <c:pt idx="11">
                  <c:v>0.16280838208527193</c:v>
                </c:pt>
                <c:pt idx="12">
                  <c:v>0.16337125002360575</c:v>
                </c:pt>
                <c:pt idx="13">
                  <c:v>0.16820614790146093</c:v>
                </c:pt>
                <c:pt idx="14">
                  <c:v>0.16284356247559106</c:v>
                </c:pt>
                <c:pt idx="15">
                  <c:v>0.16291555235411082</c:v>
                </c:pt>
                <c:pt idx="16">
                  <c:v>0.16330618191089918</c:v>
                </c:pt>
                <c:pt idx="17">
                  <c:v>0.16829907710593384</c:v>
                </c:pt>
                <c:pt idx="18">
                  <c:v>0.16429969368639874</c:v>
                </c:pt>
                <c:pt idx="19">
                  <c:v>0.16368103421980695</c:v>
                </c:pt>
                <c:pt idx="20">
                  <c:v>0.16322450058159044</c:v>
                </c:pt>
                <c:pt idx="21">
                  <c:v>0.16337900013768492</c:v>
                </c:pt>
                <c:pt idx="22">
                  <c:v>0.16349011446107498</c:v>
                </c:pt>
                <c:pt idx="23">
                  <c:v>0.16358583374506952</c:v>
                </c:pt>
                <c:pt idx="24">
                  <c:v>0.16367511391499145</c:v>
                </c:pt>
                <c:pt idx="25">
                  <c:v>0.16382642448250606</c:v>
                </c:pt>
                <c:pt idx="26">
                  <c:v>0.16394250938336086</c:v>
                </c:pt>
                <c:pt idx="27">
                  <c:v>0.16882986222456942</c:v>
                </c:pt>
                <c:pt idx="28">
                  <c:v>0.16418491086634268</c:v>
                </c:pt>
                <c:pt idx="29">
                  <c:v>0.16434982560501687</c:v>
                </c:pt>
                <c:pt idx="30">
                  <c:v>0.16447708423678575</c:v>
                </c:pt>
                <c:pt idx="31">
                  <c:v>0.16503523237277373</c:v>
                </c:pt>
                <c:pt idx="32">
                  <c:v>0.16518544129103363</c:v>
                </c:pt>
                <c:pt idx="33">
                  <c:v>0.16528074825296879</c:v>
                </c:pt>
                <c:pt idx="34">
                  <c:v>0.16437394415776918</c:v>
                </c:pt>
                <c:pt idx="35">
                  <c:v>0.16932236032645953</c:v>
                </c:pt>
                <c:pt idx="36">
                  <c:v>0.18067376074551245</c:v>
                </c:pt>
                <c:pt idx="37">
                  <c:v>0.16546517702188734</c:v>
                </c:pt>
                <c:pt idx="38">
                  <c:v>0.16566560665183649</c:v>
                </c:pt>
                <c:pt idx="39">
                  <c:v>0.16580093577689126</c:v>
                </c:pt>
                <c:pt idx="40">
                  <c:v>0.16592612453170474</c:v>
                </c:pt>
                <c:pt idx="41">
                  <c:v>0.1668459873430912</c:v>
                </c:pt>
                <c:pt idx="42">
                  <c:v>0.16621081826740802</c:v>
                </c:pt>
                <c:pt idx="43">
                  <c:v>0.16664410714782441</c:v>
                </c:pt>
                <c:pt idx="44">
                  <c:v>0.16603008466536107</c:v>
                </c:pt>
                <c:pt idx="45">
                  <c:v>0.1665638998610286</c:v>
                </c:pt>
                <c:pt idx="46">
                  <c:v>0.16819581111282056</c:v>
                </c:pt>
                <c:pt idx="47">
                  <c:v>0.1667731524127376</c:v>
                </c:pt>
                <c:pt idx="48">
                  <c:v>0.16680300438389017</c:v>
                </c:pt>
                <c:pt idx="49">
                  <c:v>0.16756527508980223</c:v>
                </c:pt>
                <c:pt idx="50">
                  <c:v>0.16844472527312737</c:v>
                </c:pt>
                <c:pt idx="51">
                  <c:v>0.16456823071590287</c:v>
                </c:pt>
                <c:pt idx="52">
                  <c:v>0.16747795856043091</c:v>
                </c:pt>
                <c:pt idx="53">
                  <c:v>0.16813573333122833</c:v>
                </c:pt>
                <c:pt idx="54">
                  <c:v>0.16468436846914902</c:v>
                </c:pt>
                <c:pt idx="55">
                  <c:v>0.16809445113823562</c:v>
                </c:pt>
                <c:pt idx="56">
                  <c:v>0.16982022250983375</c:v>
                </c:pt>
                <c:pt idx="57">
                  <c:v>0.1763930836880887</c:v>
                </c:pt>
                <c:pt idx="58">
                  <c:v>0.16853637517856712</c:v>
                </c:pt>
                <c:pt idx="59">
                  <c:v>0.17597203187739541</c:v>
                </c:pt>
                <c:pt idx="60">
                  <c:v>0.16889386969136755</c:v>
                </c:pt>
                <c:pt idx="61">
                  <c:v>0.16919997635053097</c:v>
                </c:pt>
                <c:pt idx="62">
                  <c:v>0.17610611731853543</c:v>
                </c:pt>
                <c:pt idx="63">
                  <c:v>0.16939771479732246</c:v>
                </c:pt>
                <c:pt idx="64">
                  <c:v>0.16982055414237252</c:v>
                </c:pt>
                <c:pt idx="65">
                  <c:v>0.17116790515968305</c:v>
                </c:pt>
                <c:pt idx="66">
                  <c:v>0.17163548313207055</c:v>
                </c:pt>
                <c:pt idx="67">
                  <c:v>0.17639264456243042</c:v>
                </c:pt>
                <c:pt idx="68">
                  <c:v>0.17066187238476926</c:v>
                </c:pt>
                <c:pt idx="69">
                  <c:v>0.1712122654326711</c:v>
                </c:pt>
                <c:pt idx="70">
                  <c:v>0.1763362200994818</c:v>
                </c:pt>
                <c:pt idx="71">
                  <c:v>0.17643103203837041</c:v>
                </c:pt>
                <c:pt idx="72">
                  <c:v>0.18067376074551245</c:v>
                </c:pt>
                <c:pt idx="73">
                  <c:v>0.17653788290006611</c:v>
                </c:pt>
                <c:pt idx="74">
                  <c:v>0.17655139727112279</c:v>
                </c:pt>
                <c:pt idx="75">
                  <c:v>0.18067376074551245</c:v>
                </c:pt>
                <c:pt idx="76">
                  <c:v>0.1725422477601517</c:v>
                </c:pt>
                <c:pt idx="77">
                  <c:v>0.17277213839452399</c:v>
                </c:pt>
                <c:pt idx="78">
                  <c:v>0.17319355590452057</c:v>
                </c:pt>
                <c:pt idx="79">
                  <c:v>0.17367597512822175</c:v>
                </c:pt>
                <c:pt idx="80">
                  <c:v>0.17394680712908284</c:v>
                </c:pt>
                <c:pt idx="81">
                  <c:v>0.17405092095868802</c:v>
                </c:pt>
                <c:pt idx="82">
                  <c:v>0.17420832078078607</c:v>
                </c:pt>
                <c:pt idx="83">
                  <c:v>0.1745324917832205</c:v>
                </c:pt>
                <c:pt idx="84">
                  <c:v>0.17462637441956397</c:v>
                </c:pt>
                <c:pt idx="85">
                  <c:v>0.17482431555065325</c:v>
                </c:pt>
                <c:pt idx="86">
                  <c:v>0.17502773538649041</c:v>
                </c:pt>
                <c:pt idx="87">
                  <c:v>0.17539512540204671</c:v>
                </c:pt>
                <c:pt idx="88">
                  <c:v>0.17564463983055512</c:v>
                </c:pt>
                <c:pt idx="89">
                  <c:v>0.17544851653240134</c:v>
                </c:pt>
                <c:pt idx="90">
                  <c:v>0.17587256242400717</c:v>
                </c:pt>
                <c:pt idx="91">
                  <c:v>0.17611966089792053</c:v>
                </c:pt>
                <c:pt idx="92">
                  <c:v>0.17652531623780243</c:v>
                </c:pt>
                <c:pt idx="93">
                  <c:v>0.17663408082510013</c:v>
                </c:pt>
                <c:pt idx="94">
                  <c:v>0.17639453157831531</c:v>
                </c:pt>
                <c:pt idx="95">
                  <c:v>0.17716006035572374</c:v>
                </c:pt>
                <c:pt idx="96">
                  <c:v>0.17701316945149914</c:v>
                </c:pt>
                <c:pt idx="97">
                  <c:v>0.17749360496258171</c:v>
                </c:pt>
                <c:pt idx="98">
                  <c:v>0.17779180324171495</c:v>
                </c:pt>
                <c:pt idx="99">
                  <c:v>0.17761351272385784</c:v>
                </c:pt>
                <c:pt idx="100">
                  <c:v>0.17827714078145118</c:v>
                </c:pt>
                <c:pt idx="101">
                  <c:v>0.17669509405911388</c:v>
                </c:pt>
                <c:pt idx="102">
                  <c:v>0.17843453180722979</c:v>
                </c:pt>
                <c:pt idx="103">
                  <c:v>0.17849402910739531</c:v>
                </c:pt>
                <c:pt idx="104">
                  <c:v>0.17908677588252675</c:v>
                </c:pt>
                <c:pt idx="105">
                  <c:v>0.17973133271570352</c:v>
                </c:pt>
                <c:pt idx="106">
                  <c:v>0.17923556796842122</c:v>
                </c:pt>
                <c:pt idx="107">
                  <c:v>0.17931114261595016</c:v>
                </c:pt>
                <c:pt idx="108">
                  <c:v>0.17679006054351909</c:v>
                </c:pt>
                <c:pt idx="109">
                  <c:v>0.18067376074551245</c:v>
                </c:pt>
                <c:pt idx="110">
                  <c:v>0.18087590266329334</c:v>
                </c:pt>
                <c:pt idx="111">
                  <c:v>0.1810749365390778</c:v>
                </c:pt>
                <c:pt idx="112">
                  <c:v>0.18116102655516086</c:v>
                </c:pt>
                <c:pt idx="113">
                  <c:v>0.18072066885893379</c:v>
                </c:pt>
                <c:pt idx="114">
                  <c:v>0.18292137602804304</c:v>
                </c:pt>
                <c:pt idx="115">
                  <c:v>0.17679006054351909</c:v>
                </c:pt>
                <c:pt idx="116">
                  <c:v>0.18067376074551245</c:v>
                </c:pt>
                <c:pt idx="117">
                  <c:v>0.18274087540425454</c:v>
                </c:pt>
                <c:pt idx="118">
                  <c:v>0.18231375978382802</c:v>
                </c:pt>
                <c:pt idx="119">
                  <c:v>0.18249257495969351</c:v>
                </c:pt>
                <c:pt idx="120">
                  <c:v>0.18067376074551245</c:v>
                </c:pt>
                <c:pt idx="121">
                  <c:v>0.18362698915323095</c:v>
                </c:pt>
                <c:pt idx="122">
                  <c:v>0.18368645030037856</c:v>
                </c:pt>
                <c:pt idx="123">
                  <c:v>0.18246594688315598</c:v>
                </c:pt>
                <c:pt idx="124">
                  <c:v>0.18419905631000999</c:v>
                </c:pt>
                <c:pt idx="125">
                  <c:v>0.18453752809543134</c:v>
                </c:pt>
                <c:pt idx="126">
                  <c:v>0.18446117428544362</c:v>
                </c:pt>
                <c:pt idx="127">
                  <c:v>0.18564476483047843</c:v>
                </c:pt>
                <c:pt idx="128">
                  <c:v>0.1834784123114237</c:v>
                </c:pt>
                <c:pt idx="129">
                  <c:v>0.18542904770092061</c:v>
                </c:pt>
                <c:pt idx="130">
                  <c:v>0.18565063744705679</c:v>
                </c:pt>
                <c:pt idx="131">
                  <c:v>0.18595246401621068</c:v>
                </c:pt>
                <c:pt idx="132">
                  <c:v>0.18648581539742359</c:v>
                </c:pt>
                <c:pt idx="133">
                  <c:v>0.18605485327394033</c:v>
                </c:pt>
                <c:pt idx="134">
                  <c:v>0.18737426713126859</c:v>
                </c:pt>
                <c:pt idx="135">
                  <c:v>0.17679006054351909</c:v>
                </c:pt>
                <c:pt idx="136">
                  <c:v>0.17679006054351909</c:v>
                </c:pt>
                <c:pt idx="137">
                  <c:v>0.17679006054351909</c:v>
                </c:pt>
                <c:pt idx="138">
                  <c:v>0.17679006054351909</c:v>
                </c:pt>
                <c:pt idx="139">
                  <c:v>0.18615154243478993</c:v>
                </c:pt>
                <c:pt idx="140">
                  <c:v>0.17679006054351909</c:v>
                </c:pt>
                <c:pt idx="141">
                  <c:v>0.17679006054351909</c:v>
                </c:pt>
                <c:pt idx="142">
                  <c:v>0.18502560850103644</c:v>
                </c:pt>
                <c:pt idx="143">
                  <c:v>0.18502560850103644</c:v>
                </c:pt>
                <c:pt idx="144">
                  <c:v>0.18502560850103644</c:v>
                </c:pt>
                <c:pt idx="145">
                  <c:v>0.18067376074551245</c:v>
                </c:pt>
                <c:pt idx="146">
                  <c:v>0.19079826213462403</c:v>
                </c:pt>
                <c:pt idx="147">
                  <c:v>0.19151576304499485</c:v>
                </c:pt>
                <c:pt idx="148">
                  <c:v>0.19140055908181908</c:v>
                </c:pt>
                <c:pt idx="149">
                  <c:v>0.19008048900726116</c:v>
                </c:pt>
                <c:pt idx="150">
                  <c:v>0.19116326313913623</c:v>
                </c:pt>
                <c:pt idx="151">
                  <c:v>0.1922482471381719</c:v>
                </c:pt>
                <c:pt idx="152">
                  <c:v>0.19288286817298461</c:v>
                </c:pt>
                <c:pt idx="153">
                  <c:v>0.1933948942417576</c:v>
                </c:pt>
                <c:pt idx="154">
                  <c:v>0.19378139093111346</c:v>
                </c:pt>
                <c:pt idx="155">
                  <c:v>0.19429157891787074</c:v>
                </c:pt>
                <c:pt idx="156">
                  <c:v>0.19395878892046303</c:v>
                </c:pt>
                <c:pt idx="157">
                  <c:v>0.19265419775632942</c:v>
                </c:pt>
                <c:pt idx="158">
                  <c:v>0.19193250882570156</c:v>
                </c:pt>
                <c:pt idx="159">
                  <c:v>0.19723137557851711</c:v>
                </c:pt>
                <c:pt idx="160">
                  <c:v>0.21360138043553234</c:v>
                </c:pt>
                <c:pt idx="161">
                  <c:v>0.19600355582665285</c:v>
                </c:pt>
                <c:pt idx="162">
                  <c:v>0.19614015063750845</c:v>
                </c:pt>
                <c:pt idx="163">
                  <c:v>0.19600656668458671</c:v>
                </c:pt>
                <c:pt idx="164">
                  <c:v>0.19259191786354046</c:v>
                </c:pt>
                <c:pt idx="165">
                  <c:v>0.20583018640357742</c:v>
                </c:pt>
                <c:pt idx="166">
                  <c:v>0.20583018640357742</c:v>
                </c:pt>
                <c:pt idx="167">
                  <c:v>0.19790384239451231</c:v>
                </c:pt>
                <c:pt idx="168">
                  <c:v>0.21360138043553234</c:v>
                </c:pt>
                <c:pt idx="169">
                  <c:v>0.19840293509015483</c:v>
                </c:pt>
                <c:pt idx="170">
                  <c:v>0.19933283752229514</c:v>
                </c:pt>
                <c:pt idx="171">
                  <c:v>0.20583018640357742</c:v>
                </c:pt>
                <c:pt idx="172">
                  <c:v>0.21360138043553234</c:v>
                </c:pt>
                <c:pt idx="173">
                  <c:v>0.19957197802547144</c:v>
                </c:pt>
                <c:pt idx="174">
                  <c:v>0.19987294509858433</c:v>
                </c:pt>
                <c:pt idx="175">
                  <c:v>0.1938350834415703</c:v>
                </c:pt>
                <c:pt idx="176">
                  <c:v>0.21360138043553234</c:v>
                </c:pt>
                <c:pt idx="177">
                  <c:v>0.20114812012158101</c:v>
                </c:pt>
                <c:pt idx="178">
                  <c:v>0.20081436087090787</c:v>
                </c:pt>
                <c:pt idx="179">
                  <c:v>0.2056138453335381</c:v>
                </c:pt>
                <c:pt idx="180">
                  <c:v>0.20186655647298712</c:v>
                </c:pt>
                <c:pt idx="181">
                  <c:v>0.20294315751702596</c:v>
                </c:pt>
                <c:pt idx="182">
                  <c:v>0.20209641875703377</c:v>
                </c:pt>
                <c:pt idx="183">
                  <c:v>0.20992487611833521</c:v>
                </c:pt>
                <c:pt idx="184">
                  <c:v>0.20276062943619699</c:v>
                </c:pt>
                <c:pt idx="185">
                  <c:v>0.20329953037117177</c:v>
                </c:pt>
                <c:pt idx="186">
                  <c:v>0.20380213267948566</c:v>
                </c:pt>
                <c:pt idx="187">
                  <c:v>0.20957720505531596</c:v>
                </c:pt>
                <c:pt idx="188">
                  <c:v>0.20959272173085175</c:v>
                </c:pt>
                <c:pt idx="189">
                  <c:v>0.20992487611833521</c:v>
                </c:pt>
                <c:pt idx="190">
                  <c:v>0.21750116022024391</c:v>
                </c:pt>
                <c:pt idx="191">
                  <c:v>0.21360138043553234</c:v>
                </c:pt>
                <c:pt idx="192">
                  <c:v>0.20532230625568904</c:v>
                </c:pt>
                <c:pt idx="193">
                  <c:v>0.20551883796377979</c:v>
                </c:pt>
                <c:pt idx="194">
                  <c:v>0.20603120074840087</c:v>
                </c:pt>
                <c:pt idx="195">
                  <c:v>0.20633968356761212</c:v>
                </c:pt>
                <c:pt idx="196">
                  <c:v>0.20635389924639469</c:v>
                </c:pt>
                <c:pt idx="197">
                  <c:v>0.2074057935114062</c:v>
                </c:pt>
                <c:pt idx="198">
                  <c:v>0.20791143408574109</c:v>
                </c:pt>
                <c:pt idx="199">
                  <c:v>0.2096104691352938</c:v>
                </c:pt>
                <c:pt idx="200">
                  <c:v>0.20825030244078668</c:v>
                </c:pt>
                <c:pt idx="201">
                  <c:v>0.21360138043553234</c:v>
                </c:pt>
                <c:pt idx="202">
                  <c:v>0.20907820249186448</c:v>
                </c:pt>
                <c:pt idx="203">
                  <c:v>0.21360138043553234</c:v>
                </c:pt>
                <c:pt idx="204">
                  <c:v>0.20992487611833521</c:v>
                </c:pt>
                <c:pt idx="205">
                  <c:v>0.21018711807409618</c:v>
                </c:pt>
                <c:pt idx="206">
                  <c:v>0.21360138043553234</c:v>
                </c:pt>
                <c:pt idx="207">
                  <c:v>0.21750116022024391</c:v>
                </c:pt>
                <c:pt idx="208">
                  <c:v>0.20964260115291089</c:v>
                </c:pt>
                <c:pt idx="209">
                  <c:v>0.21213164476007917</c:v>
                </c:pt>
                <c:pt idx="210">
                  <c:v>0.212614313016249</c:v>
                </c:pt>
                <c:pt idx="211">
                  <c:v>0.21280779140782458</c:v>
                </c:pt>
                <c:pt idx="212">
                  <c:v>0.21283388653854285</c:v>
                </c:pt>
                <c:pt idx="213">
                  <c:v>0.21583497216258651</c:v>
                </c:pt>
                <c:pt idx="214">
                  <c:v>0.21457719056003732</c:v>
                </c:pt>
                <c:pt idx="215">
                  <c:v>0.21750116022024391</c:v>
                </c:pt>
                <c:pt idx="216">
                  <c:v>0.21444210418445864</c:v>
                </c:pt>
                <c:pt idx="217">
                  <c:v>0.21486758099681635</c:v>
                </c:pt>
                <c:pt idx="218">
                  <c:v>0.21492001676317529</c:v>
                </c:pt>
                <c:pt idx="219">
                  <c:v>0.2162278179719086</c:v>
                </c:pt>
                <c:pt idx="220">
                  <c:v>0.21517945901692692</c:v>
                </c:pt>
                <c:pt idx="221">
                  <c:v>0.21530164879777547</c:v>
                </c:pt>
                <c:pt idx="222">
                  <c:v>0.20992487611833521</c:v>
                </c:pt>
                <c:pt idx="223">
                  <c:v>0.20992487611833521</c:v>
                </c:pt>
                <c:pt idx="224">
                  <c:v>0.20992487611833521</c:v>
                </c:pt>
                <c:pt idx="225">
                  <c:v>0.20992487611833521</c:v>
                </c:pt>
              </c:numCache>
            </c:numRef>
          </c:xVal>
          <c:yVal>
            <c:numRef>
              <c:f>'Efficient frontier'!$I$2:$I$355</c:f>
              <c:numCache>
                <c:formatCode>0.0%</c:formatCode>
                <c:ptCount val="354"/>
                <c:pt idx="0">
                  <c:v>0.26500039021043453</c:v>
                </c:pt>
                <c:pt idx="1">
                  <c:v>0.24539445601205556</c:v>
                </c:pt>
                <c:pt idx="2">
                  <c:v>0.26587857416267702</c:v>
                </c:pt>
                <c:pt idx="3">
                  <c:v>0.26659677460689535</c:v>
                </c:pt>
                <c:pt idx="4">
                  <c:v>0.26051306371422389</c:v>
                </c:pt>
                <c:pt idx="5">
                  <c:v>0.23127676758700177</c:v>
                </c:pt>
                <c:pt idx="6">
                  <c:v>0.26929090180853565</c:v>
                </c:pt>
                <c:pt idx="7">
                  <c:v>0.26810574119697228</c:v>
                </c:pt>
                <c:pt idx="8">
                  <c:v>0.26145602312335892</c:v>
                </c:pt>
                <c:pt idx="9">
                  <c:v>0.31292348469064168</c:v>
                </c:pt>
                <c:pt idx="10">
                  <c:v>0.2759917597882946</c:v>
                </c:pt>
                <c:pt idx="11">
                  <c:v>0.27939337302735145</c:v>
                </c:pt>
                <c:pt idx="12">
                  <c:v>0.27725144036503657</c:v>
                </c:pt>
                <c:pt idx="13">
                  <c:v>0.2361608073021535</c:v>
                </c:pt>
                <c:pt idx="14">
                  <c:v>0.28127375735749216</c:v>
                </c:pt>
                <c:pt idx="15">
                  <c:v>0.28308631890864122</c:v>
                </c:pt>
                <c:pt idx="16">
                  <c:v>0.28761277011663067</c:v>
                </c:pt>
                <c:pt idx="17">
                  <c:v>0.23861005687889736</c:v>
                </c:pt>
                <c:pt idx="18">
                  <c:v>0.25706077556673179</c:v>
                </c:pt>
                <c:pt idx="19">
                  <c:v>0.29324858248030128</c:v>
                </c:pt>
                <c:pt idx="20">
                  <c:v>0.29069563463369175</c:v>
                </c:pt>
                <c:pt idx="21">
                  <c:v>0.29377051304695168</c:v>
                </c:pt>
                <c:pt idx="22">
                  <c:v>0.29583013030861638</c:v>
                </c:pt>
                <c:pt idx="23">
                  <c:v>0.29750130026446686</c:v>
                </c:pt>
                <c:pt idx="24">
                  <c:v>0.29899302328564148</c:v>
                </c:pt>
                <c:pt idx="25">
                  <c:v>0.30137982947194031</c:v>
                </c:pt>
                <c:pt idx="26">
                  <c:v>0.30314732029555147</c:v>
                </c:pt>
                <c:pt idx="27">
                  <c:v>0.24763205514189934</c:v>
                </c:pt>
                <c:pt idx="28">
                  <c:v>0.30659476376368477</c:v>
                </c:pt>
                <c:pt idx="29">
                  <c:v>0.30879209904413374</c:v>
                </c:pt>
                <c:pt idx="30">
                  <c:v>0.31038873175660586</c:v>
                </c:pt>
                <c:pt idx="31">
                  <c:v>0.31685737748469855</c:v>
                </c:pt>
                <c:pt idx="32">
                  <c:v>0.31647029055764175</c:v>
                </c:pt>
                <c:pt idx="33">
                  <c:v>0.30406798310938798</c:v>
                </c:pt>
                <c:pt idx="34">
                  <c:v>0.27040026157618402</c:v>
                </c:pt>
                <c:pt idx="35">
                  <c:v>0.25340736855768586</c:v>
                </c:pt>
                <c:pt idx="36">
                  <c:v>0.31292348469064168</c:v>
                </c:pt>
                <c:pt idx="37">
                  <c:v>0.32176730879048443</c:v>
                </c:pt>
                <c:pt idx="38">
                  <c:v>0.32382985190253999</c:v>
                </c:pt>
                <c:pt idx="39">
                  <c:v>0.32517889101456809</c:v>
                </c:pt>
                <c:pt idx="40">
                  <c:v>0.32637595193528779</c:v>
                </c:pt>
                <c:pt idx="41">
                  <c:v>0.33400476416454361</c:v>
                </c:pt>
                <c:pt idx="42">
                  <c:v>0.32915408667242074</c:v>
                </c:pt>
                <c:pt idx="43">
                  <c:v>0.3324334075926989</c:v>
                </c:pt>
                <c:pt idx="44">
                  <c:v>0.30304815973789223</c:v>
                </c:pt>
                <c:pt idx="45">
                  <c:v>0.33235078243724514</c:v>
                </c:pt>
                <c:pt idx="46">
                  <c:v>0.34499032361464543</c:v>
                </c:pt>
                <c:pt idx="47">
                  <c:v>0.33427797233923395</c:v>
                </c:pt>
                <c:pt idx="48">
                  <c:v>0.33438484496224841</c:v>
                </c:pt>
                <c:pt idx="49">
                  <c:v>0.34012057653337258</c:v>
                </c:pt>
                <c:pt idx="50">
                  <c:v>0.3334528866715516</c:v>
                </c:pt>
                <c:pt idx="51">
                  <c:v>0.26468606455023247</c:v>
                </c:pt>
                <c:pt idx="52">
                  <c:v>0.34027361821347046</c:v>
                </c:pt>
                <c:pt idx="53">
                  <c:v>0.34508611016196689</c:v>
                </c:pt>
                <c:pt idx="54">
                  <c:v>0.26555323919131379</c:v>
                </c:pt>
                <c:pt idx="55">
                  <c:v>0.34515432551050451</c:v>
                </c:pt>
                <c:pt idx="56">
                  <c:v>0.35723919843633367</c:v>
                </c:pt>
                <c:pt idx="57">
                  <c:v>0.33337349927815896</c:v>
                </c:pt>
                <c:pt idx="58">
                  <c:v>0.34855868039015081</c:v>
                </c:pt>
                <c:pt idx="59">
                  <c:v>0.38671114947305307</c:v>
                </c:pt>
                <c:pt idx="60">
                  <c:v>0.35126543070266036</c:v>
                </c:pt>
                <c:pt idx="61">
                  <c:v>0.35333180490522009</c:v>
                </c:pt>
                <c:pt idx="62">
                  <c:v>0.38809781305866098</c:v>
                </c:pt>
                <c:pt idx="63">
                  <c:v>0.35485945275928543</c:v>
                </c:pt>
                <c:pt idx="64">
                  <c:v>0.35780726501394322</c:v>
                </c:pt>
                <c:pt idx="65">
                  <c:v>0.36658244644311577</c:v>
                </c:pt>
                <c:pt idx="66">
                  <c:v>0.3657298708733081</c:v>
                </c:pt>
                <c:pt idx="67">
                  <c:v>0.39087528402451643</c:v>
                </c:pt>
                <c:pt idx="68">
                  <c:v>0.3635673100539849</c:v>
                </c:pt>
                <c:pt idx="69">
                  <c:v>0.36686556600933673</c:v>
                </c:pt>
                <c:pt idx="70">
                  <c:v>0.39325726428483621</c:v>
                </c:pt>
                <c:pt idx="71">
                  <c:v>0.39388162837896323</c:v>
                </c:pt>
                <c:pt idx="72">
                  <c:v>0.31292348469064168</c:v>
                </c:pt>
                <c:pt idx="73">
                  <c:v>0.33436147837193197</c:v>
                </c:pt>
                <c:pt idx="74">
                  <c:v>0.33444384286153328</c:v>
                </c:pt>
                <c:pt idx="75">
                  <c:v>0.31292348469064168</c:v>
                </c:pt>
                <c:pt idx="76">
                  <c:v>0.37542316214221438</c:v>
                </c:pt>
                <c:pt idx="77">
                  <c:v>0.37680753765383534</c:v>
                </c:pt>
                <c:pt idx="78">
                  <c:v>0.37928342017223016</c:v>
                </c:pt>
                <c:pt idx="79">
                  <c:v>0.38212081780604623</c:v>
                </c:pt>
                <c:pt idx="80">
                  <c:v>0.38366395629231387</c:v>
                </c:pt>
                <c:pt idx="81">
                  <c:v>0.38425379723815056</c:v>
                </c:pt>
                <c:pt idx="82">
                  <c:v>0.38512999043594709</c:v>
                </c:pt>
                <c:pt idx="83">
                  <c:v>0.38689888419165519</c:v>
                </c:pt>
                <c:pt idx="84">
                  <c:v>0.38733789536957319</c:v>
                </c:pt>
                <c:pt idx="85">
                  <c:v>0.38838995496518702</c:v>
                </c:pt>
                <c:pt idx="86">
                  <c:v>0.38946211000621567</c:v>
                </c:pt>
                <c:pt idx="87">
                  <c:v>0.3915155985861436</c:v>
                </c:pt>
                <c:pt idx="88">
                  <c:v>0.39282540044697489</c:v>
                </c:pt>
                <c:pt idx="89">
                  <c:v>0.3917981152222334</c:v>
                </c:pt>
                <c:pt idx="90">
                  <c:v>0.39399969834161186</c:v>
                </c:pt>
                <c:pt idx="91">
                  <c:v>0.39524855730512831</c:v>
                </c:pt>
                <c:pt idx="92">
                  <c:v>0.39725884437033598</c:v>
                </c:pt>
                <c:pt idx="93">
                  <c:v>0.39774273112540737</c:v>
                </c:pt>
                <c:pt idx="94">
                  <c:v>0.39660641555268406</c:v>
                </c:pt>
                <c:pt idx="95">
                  <c:v>0.40033404082292168</c:v>
                </c:pt>
                <c:pt idx="96">
                  <c:v>0.39958901393070878</c:v>
                </c:pt>
                <c:pt idx="97">
                  <c:v>0.40189538235987254</c:v>
                </c:pt>
                <c:pt idx="98">
                  <c:v>0.40328834335930752</c:v>
                </c:pt>
                <c:pt idx="99">
                  <c:v>0.4023984652845809</c:v>
                </c:pt>
                <c:pt idx="100">
                  <c:v>0.40554711689176304</c:v>
                </c:pt>
                <c:pt idx="101">
                  <c:v>0.33524859471891832</c:v>
                </c:pt>
                <c:pt idx="102">
                  <c:v>0.40502357419114898</c:v>
                </c:pt>
                <c:pt idx="103">
                  <c:v>0.40528379760765199</c:v>
                </c:pt>
                <c:pt idx="104">
                  <c:v>0.40892679682382549</c:v>
                </c:pt>
                <c:pt idx="105">
                  <c:v>0.41181796113028724</c:v>
                </c:pt>
                <c:pt idx="106">
                  <c:v>0.40956144550306828</c:v>
                </c:pt>
                <c:pt idx="107">
                  <c:v>0.40987887658961086</c:v>
                </c:pt>
                <c:pt idx="108">
                  <c:v>0.3961262105298553</c:v>
                </c:pt>
                <c:pt idx="109">
                  <c:v>0.31292348469064168</c:v>
                </c:pt>
                <c:pt idx="110">
                  <c:v>0.41688897239384559</c:v>
                </c:pt>
                <c:pt idx="111">
                  <c:v>0.41770126445711186</c:v>
                </c:pt>
                <c:pt idx="112">
                  <c:v>0.41794864750116201</c:v>
                </c:pt>
                <c:pt idx="113">
                  <c:v>0.4160600602229545</c:v>
                </c:pt>
                <c:pt idx="114">
                  <c:v>0.4246510782818822</c:v>
                </c:pt>
                <c:pt idx="115">
                  <c:v>0.3961262105298553</c:v>
                </c:pt>
                <c:pt idx="116">
                  <c:v>0.31292348469064168</c:v>
                </c:pt>
                <c:pt idx="117">
                  <c:v>0.42447533435819862</c:v>
                </c:pt>
                <c:pt idx="118">
                  <c:v>0.42274538618094493</c:v>
                </c:pt>
                <c:pt idx="119">
                  <c:v>0.4221122881989352</c:v>
                </c:pt>
                <c:pt idx="120">
                  <c:v>0.31292348469064168</c:v>
                </c:pt>
                <c:pt idx="121">
                  <c:v>0.42793312231533132</c:v>
                </c:pt>
                <c:pt idx="122">
                  <c:v>0.42801581276288836</c:v>
                </c:pt>
                <c:pt idx="123">
                  <c:v>0.41987493938395981</c:v>
                </c:pt>
                <c:pt idx="124">
                  <c:v>0.43014954404815042</c:v>
                </c:pt>
                <c:pt idx="125">
                  <c:v>0.43139624178761871</c:v>
                </c:pt>
                <c:pt idx="126">
                  <c:v>0.4306385054610411</c:v>
                </c:pt>
                <c:pt idx="127">
                  <c:v>0.43487312805445444</c:v>
                </c:pt>
                <c:pt idx="128">
                  <c:v>0.42362499336561021</c:v>
                </c:pt>
                <c:pt idx="129">
                  <c:v>0.43478011437129904</c:v>
                </c:pt>
                <c:pt idx="130">
                  <c:v>0.43559743875713108</c:v>
                </c:pt>
                <c:pt idx="131">
                  <c:v>0.43670885685016958</c:v>
                </c:pt>
                <c:pt idx="132">
                  <c:v>0.43861002270716942</c:v>
                </c:pt>
                <c:pt idx="133">
                  <c:v>0.43688652206249023</c:v>
                </c:pt>
                <c:pt idx="134">
                  <c:v>0.44104138174327945</c:v>
                </c:pt>
                <c:pt idx="135">
                  <c:v>0.3961262105298553</c:v>
                </c:pt>
                <c:pt idx="136">
                  <c:v>0.3961262105298553</c:v>
                </c:pt>
                <c:pt idx="137">
                  <c:v>0.3961262105298553</c:v>
                </c:pt>
                <c:pt idx="138">
                  <c:v>0.3961262105298553</c:v>
                </c:pt>
                <c:pt idx="139">
                  <c:v>0.43304333449007126</c:v>
                </c:pt>
                <c:pt idx="140">
                  <c:v>0.3961262105298553</c:v>
                </c:pt>
                <c:pt idx="141">
                  <c:v>0.3961262105298553</c:v>
                </c:pt>
                <c:pt idx="142">
                  <c:v>0.37655079805735014</c:v>
                </c:pt>
                <c:pt idx="143">
                  <c:v>0.37655079805735014</c:v>
                </c:pt>
                <c:pt idx="144">
                  <c:v>0.37655079805735014</c:v>
                </c:pt>
                <c:pt idx="145">
                  <c:v>0.31292348469064168</c:v>
                </c:pt>
                <c:pt idx="146">
                  <c:v>0.45370908959917466</c:v>
                </c:pt>
                <c:pt idx="147">
                  <c:v>0.45609783394017778</c:v>
                </c:pt>
                <c:pt idx="148">
                  <c:v>0.45543042174798165</c:v>
                </c:pt>
                <c:pt idx="149">
                  <c:v>0.45044176253467283</c:v>
                </c:pt>
                <c:pt idx="150">
                  <c:v>0.45487330243033086</c:v>
                </c:pt>
                <c:pt idx="151">
                  <c:v>0.45852397164250069</c:v>
                </c:pt>
                <c:pt idx="152">
                  <c:v>0.46060009709094518</c:v>
                </c:pt>
                <c:pt idx="153">
                  <c:v>0.46226434631366353</c:v>
                </c:pt>
                <c:pt idx="154">
                  <c:v>0.46351126477203874</c:v>
                </c:pt>
                <c:pt idx="155">
                  <c:v>0.46511667658444344</c:v>
                </c:pt>
                <c:pt idx="156">
                  <c:v>0.46399808838204071</c:v>
                </c:pt>
                <c:pt idx="157">
                  <c:v>0.4590001336937084</c:v>
                </c:pt>
                <c:pt idx="158">
                  <c:v>0.45584909068805723</c:v>
                </c:pt>
                <c:pt idx="159">
                  <c:v>0.468181328621468</c:v>
                </c:pt>
                <c:pt idx="160">
                  <c:v>0.40136533388085738</c:v>
                </c:pt>
                <c:pt idx="161">
                  <c:v>0.47054357129928293</c:v>
                </c:pt>
                <c:pt idx="162">
                  <c:v>0.47093011882624425</c:v>
                </c:pt>
                <c:pt idx="163">
                  <c:v>0.47039232708682932</c:v>
                </c:pt>
                <c:pt idx="164">
                  <c:v>0.45788201419091012</c:v>
                </c:pt>
                <c:pt idx="165">
                  <c:v>0.49014783741684886</c:v>
                </c:pt>
                <c:pt idx="166">
                  <c:v>0.49014783741684886</c:v>
                </c:pt>
                <c:pt idx="167">
                  <c:v>0.4702534004970822</c:v>
                </c:pt>
                <c:pt idx="168">
                  <c:v>0.40136533388085738</c:v>
                </c:pt>
                <c:pt idx="169">
                  <c:v>0.4779096849292459</c:v>
                </c:pt>
                <c:pt idx="170">
                  <c:v>0.4806455825470719</c:v>
                </c:pt>
                <c:pt idx="171">
                  <c:v>0.49014783741684886</c:v>
                </c:pt>
                <c:pt idx="172">
                  <c:v>0.40136533388085738</c:v>
                </c:pt>
                <c:pt idx="173">
                  <c:v>0.48145441263731814</c:v>
                </c:pt>
                <c:pt idx="174">
                  <c:v>0.48206876624861383</c:v>
                </c:pt>
                <c:pt idx="175">
                  <c:v>0.46154840277956466</c:v>
                </c:pt>
                <c:pt idx="176">
                  <c:v>0.40136533388085738</c:v>
                </c:pt>
                <c:pt idx="177">
                  <c:v>0.48611423933107445</c:v>
                </c:pt>
                <c:pt idx="178">
                  <c:v>0.48506686530382748</c:v>
                </c:pt>
                <c:pt idx="179">
                  <c:v>0.48951170863147131</c:v>
                </c:pt>
                <c:pt idx="180">
                  <c:v>0.48823492482288255</c:v>
                </c:pt>
                <c:pt idx="181">
                  <c:v>0.49130601457139833</c:v>
                </c:pt>
                <c:pt idx="182">
                  <c:v>0.48679118611229577</c:v>
                </c:pt>
                <c:pt idx="183">
                  <c:v>0.49423139752989709</c:v>
                </c:pt>
                <c:pt idx="184">
                  <c:v>0.49083481645650795</c:v>
                </c:pt>
                <c:pt idx="185">
                  <c:v>0.49238165123352884</c:v>
                </c:pt>
                <c:pt idx="186">
                  <c:v>0.4937993610845739</c:v>
                </c:pt>
                <c:pt idx="187">
                  <c:v>0.50960675866468419</c:v>
                </c:pt>
                <c:pt idx="188">
                  <c:v>0.50678785780039193</c:v>
                </c:pt>
                <c:pt idx="189">
                  <c:v>0.49423139752989709</c:v>
                </c:pt>
                <c:pt idx="190">
                  <c:v>0.46925978257053402</c:v>
                </c:pt>
                <c:pt idx="191">
                  <c:v>0.40136533388085738</c:v>
                </c:pt>
                <c:pt idx="192">
                  <c:v>0.49810167276819506</c:v>
                </c:pt>
                <c:pt idx="193">
                  <c:v>0.49864937483107141</c:v>
                </c:pt>
                <c:pt idx="194">
                  <c:v>0.50007193781253578</c:v>
                </c:pt>
                <c:pt idx="195">
                  <c:v>0.5008967583142363</c:v>
                </c:pt>
                <c:pt idx="196">
                  <c:v>0.50092926538770643</c:v>
                </c:pt>
                <c:pt idx="197">
                  <c:v>0.50378641606420094</c:v>
                </c:pt>
                <c:pt idx="198">
                  <c:v>0.50509427100121251</c:v>
                </c:pt>
                <c:pt idx="199">
                  <c:v>0.50970103495161601</c:v>
                </c:pt>
                <c:pt idx="200">
                  <c:v>0.50614652275185934</c:v>
                </c:pt>
                <c:pt idx="201">
                  <c:v>0.40136533388085738</c:v>
                </c:pt>
                <c:pt idx="202">
                  <c:v>0.50839225153739176</c:v>
                </c:pt>
                <c:pt idx="203">
                  <c:v>0.40136533388085738</c:v>
                </c:pt>
                <c:pt idx="204">
                  <c:v>0.49423139752989709</c:v>
                </c:pt>
                <c:pt idx="205">
                  <c:v>0.51135870241345671</c:v>
                </c:pt>
                <c:pt idx="206">
                  <c:v>0.40136533388085738</c:v>
                </c:pt>
                <c:pt idx="207">
                  <c:v>0.46925978257053402</c:v>
                </c:pt>
                <c:pt idx="208">
                  <c:v>0.509786745754641</c:v>
                </c:pt>
                <c:pt idx="209">
                  <c:v>0.51648719493893802</c:v>
                </c:pt>
                <c:pt idx="210">
                  <c:v>0.51774527512078428</c:v>
                </c:pt>
                <c:pt idx="211">
                  <c:v>0.51824464156398609</c:v>
                </c:pt>
                <c:pt idx="212">
                  <c:v>0.51828304947877557</c:v>
                </c:pt>
                <c:pt idx="213">
                  <c:v>0.52563398922243665</c:v>
                </c:pt>
                <c:pt idx="214">
                  <c:v>0.52127353189787251</c:v>
                </c:pt>
                <c:pt idx="215">
                  <c:v>0.46925978257053402</c:v>
                </c:pt>
                <c:pt idx="216">
                  <c:v>0.52246952943466618</c:v>
                </c:pt>
                <c:pt idx="217">
                  <c:v>0.52355423323868067</c:v>
                </c:pt>
                <c:pt idx="218">
                  <c:v>0.52367727962280552</c:v>
                </c:pt>
                <c:pt idx="219">
                  <c:v>0.52697791091929602</c:v>
                </c:pt>
                <c:pt idx="220">
                  <c:v>0.52280656897674915</c:v>
                </c:pt>
                <c:pt idx="221">
                  <c:v>0.52311336095390271</c:v>
                </c:pt>
                <c:pt idx="222">
                  <c:v>0.49423139752989709</c:v>
                </c:pt>
                <c:pt idx="223">
                  <c:v>0.49423139752989709</c:v>
                </c:pt>
                <c:pt idx="224">
                  <c:v>0.49423139752989709</c:v>
                </c:pt>
                <c:pt idx="225">
                  <c:v>0.49423139752989709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B200-480D-94DE-68FB4A61DAA8}"/>
            </c:ext>
          </c:extLst>
        </c:ser>
        <c:ser>
          <c:idx val="0"/>
          <c:order val="1"/>
          <c:spPr>
            <a:ln w="635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'Efficient frontier'!$A$2:$A$200</c:f>
              <c:numCache>
                <c:formatCode>0.00%</c:formatCode>
                <c:ptCount val="199"/>
                <c:pt idx="0">
                  <c:v>0.16251276411130999</c:v>
                </c:pt>
                <c:pt idx="1">
                  <c:v>0.16252786781392925</c:v>
                </c:pt>
                <c:pt idx="2">
                  <c:v>0.16253734379387774</c:v>
                </c:pt>
                <c:pt idx="3">
                  <c:v>0.16254925986217406</c:v>
                </c:pt>
                <c:pt idx="4">
                  <c:v>0.16256303429897323</c:v>
                </c:pt>
                <c:pt idx="5">
                  <c:v>0.16259622672474405</c:v>
                </c:pt>
                <c:pt idx="6">
                  <c:v>0.16265488958323937</c:v>
                </c:pt>
                <c:pt idx="7">
                  <c:v>0.16269166046024353</c:v>
                </c:pt>
                <c:pt idx="8">
                  <c:v>0.16274635839478768</c:v>
                </c:pt>
                <c:pt idx="9">
                  <c:v>0.16280166587863376</c:v>
                </c:pt>
                <c:pt idx="10">
                  <c:v>0.16285505210241191</c:v>
                </c:pt>
                <c:pt idx="11">
                  <c:v>0.16291530311572622</c:v>
                </c:pt>
                <c:pt idx="12">
                  <c:v>0.16298098928223315</c:v>
                </c:pt>
                <c:pt idx="13">
                  <c:v>0.16306088538535346</c:v>
                </c:pt>
                <c:pt idx="14">
                  <c:v>0.16314967518754897</c:v>
                </c:pt>
                <c:pt idx="15">
                  <c:v>0.16322914322982607</c:v>
                </c:pt>
                <c:pt idx="16">
                  <c:v>0.16331348076443453</c:v>
                </c:pt>
                <c:pt idx="17">
                  <c:v>0.16339051089750378</c:v>
                </c:pt>
                <c:pt idx="18">
                  <c:v>0.16349011446107498</c:v>
                </c:pt>
                <c:pt idx="19">
                  <c:v>0.16358583374506952</c:v>
                </c:pt>
                <c:pt idx="20">
                  <c:v>0.16370733850126573</c:v>
                </c:pt>
                <c:pt idx="21">
                  <c:v>0.16379363267184655</c:v>
                </c:pt>
                <c:pt idx="22">
                  <c:v>0.16394250938336086</c:v>
                </c:pt>
                <c:pt idx="23">
                  <c:v>0.16404207782056734</c:v>
                </c:pt>
                <c:pt idx="24">
                  <c:v>0.16418491086634268</c:v>
                </c:pt>
                <c:pt idx="25">
                  <c:v>0.16437982788854688</c:v>
                </c:pt>
                <c:pt idx="26">
                  <c:v>0.16448399393951574</c:v>
                </c:pt>
                <c:pt idx="27">
                  <c:v>0.16463653229289021</c:v>
                </c:pt>
                <c:pt idx="28">
                  <c:v>0.16480004267441095</c:v>
                </c:pt>
                <c:pt idx="29">
                  <c:v>0.16495729073741461</c:v>
                </c:pt>
                <c:pt idx="30">
                  <c:v>0.16511970790726416</c:v>
                </c:pt>
                <c:pt idx="31">
                  <c:v>0.16528728224948441</c:v>
                </c:pt>
                <c:pt idx="32">
                  <c:v>0.16546517702188734</c:v>
                </c:pt>
                <c:pt idx="33">
                  <c:v>0.16564132757012029</c:v>
                </c:pt>
                <c:pt idx="34">
                  <c:v>0.16582249192493359</c:v>
                </c:pt>
                <c:pt idx="35">
                  <c:v>0.16600793189134233</c:v>
                </c:pt>
                <c:pt idx="36">
                  <c:v>0.16619631047941441</c:v>
                </c:pt>
                <c:pt idx="37">
                  <c:v>0.16634761330664327</c:v>
                </c:pt>
                <c:pt idx="38">
                  <c:v>0.1665828731794774</c:v>
                </c:pt>
                <c:pt idx="39">
                  <c:v>0.1667731524127376</c:v>
                </c:pt>
                <c:pt idx="40">
                  <c:v>0.16702110464268238</c:v>
                </c:pt>
                <c:pt idx="41">
                  <c:v>0.16718982979074348</c:v>
                </c:pt>
                <c:pt idx="42">
                  <c:v>0.16741262017592073</c:v>
                </c:pt>
                <c:pt idx="43">
                  <c:v>0.16760160137114433</c:v>
                </c:pt>
                <c:pt idx="44">
                  <c:v>0.16785686631564989</c:v>
                </c:pt>
                <c:pt idx="45">
                  <c:v>0.16817719225117878</c:v>
                </c:pt>
                <c:pt idx="46">
                  <c:v>0.16840120793909708</c:v>
                </c:pt>
                <c:pt idx="47">
                  <c:v>0.16865015358484214</c:v>
                </c:pt>
                <c:pt idx="48">
                  <c:v>0.16893243568685401</c:v>
                </c:pt>
                <c:pt idx="49">
                  <c:v>0.16914715684738768</c:v>
                </c:pt>
                <c:pt idx="50">
                  <c:v>0.16938925078266731</c:v>
                </c:pt>
                <c:pt idx="51">
                  <c:v>0.16967280907609994</c:v>
                </c:pt>
                <c:pt idx="52">
                  <c:v>0.16995912135547786</c:v>
                </c:pt>
                <c:pt idx="53">
                  <c:v>0.17019863251805201</c:v>
                </c:pt>
                <c:pt idx="54">
                  <c:v>0.17051090676966241</c:v>
                </c:pt>
                <c:pt idx="55">
                  <c:v>0.17081078669214511</c:v>
                </c:pt>
                <c:pt idx="56">
                  <c:v>0.17114128560191677</c:v>
                </c:pt>
                <c:pt idx="57">
                  <c:v>0.17138220055417319</c:v>
                </c:pt>
                <c:pt idx="58">
                  <c:v>0.17167128203276683</c:v>
                </c:pt>
                <c:pt idx="59">
                  <c:v>0.17189654250215702</c:v>
                </c:pt>
                <c:pt idx="60">
                  <c:v>0.17228854543192984</c:v>
                </c:pt>
                <c:pt idx="61">
                  <c:v>0.1725422477601517</c:v>
                </c:pt>
                <c:pt idx="62">
                  <c:v>0.17288341817209352</c:v>
                </c:pt>
                <c:pt idx="63">
                  <c:v>0.17324965787225333</c:v>
                </c:pt>
                <c:pt idx="64">
                  <c:v>0.17361811891814294</c:v>
                </c:pt>
                <c:pt idx="65">
                  <c:v>0.17387509826905512</c:v>
                </c:pt>
                <c:pt idx="66">
                  <c:v>0.17411120158100668</c:v>
                </c:pt>
                <c:pt idx="67">
                  <c:v>0.174223175821832</c:v>
                </c:pt>
                <c:pt idx="68">
                  <c:v>0.17445496948366324</c:v>
                </c:pt>
                <c:pt idx="69">
                  <c:v>0.17466025095025706</c:v>
                </c:pt>
                <c:pt idx="70">
                  <c:v>0.17482993625984222</c:v>
                </c:pt>
                <c:pt idx="71">
                  <c:v>0.17510672132806659</c:v>
                </c:pt>
                <c:pt idx="72">
                  <c:v>0.17534887411563749</c:v>
                </c:pt>
                <c:pt idx="73">
                  <c:v>0.17555326210479549</c:v>
                </c:pt>
                <c:pt idx="74">
                  <c:v>0.17571896827198885</c:v>
                </c:pt>
                <c:pt idx="75">
                  <c:v>0.17592592064036627</c:v>
                </c:pt>
                <c:pt idx="76">
                  <c:v>0.17611966089792053</c:v>
                </c:pt>
                <c:pt idx="77">
                  <c:v>0.1764487163654227</c:v>
                </c:pt>
                <c:pt idx="78">
                  <c:v>0.17671693091844576</c:v>
                </c:pt>
                <c:pt idx="79">
                  <c:v>0.17689089524589097</c:v>
                </c:pt>
                <c:pt idx="80">
                  <c:v>0.17723844680859502</c:v>
                </c:pt>
                <c:pt idx="81">
                  <c:v>0.17733907989123021</c:v>
                </c:pt>
                <c:pt idx="82">
                  <c:v>0.17761330527371566</c:v>
                </c:pt>
                <c:pt idx="83">
                  <c:v>0.1778614570672723</c:v>
                </c:pt>
                <c:pt idx="84">
                  <c:v>0.17798623593427076</c:v>
                </c:pt>
                <c:pt idx="85">
                  <c:v>0.17834233831912361</c:v>
                </c:pt>
                <c:pt idx="86">
                  <c:v>0.178604951396786</c:v>
                </c:pt>
                <c:pt idx="87">
                  <c:v>0.17886552520646148</c:v>
                </c:pt>
                <c:pt idx="88">
                  <c:v>0.17912465270924804</c:v>
                </c:pt>
                <c:pt idx="89">
                  <c:v>0.17951066724991427</c:v>
                </c:pt>
                <c:pt idx="90">
                  <c:v>0.17971820311334241</c:v>
                </c:pt>
                <c:pt idx="91">
                  <c:v>0.17998348108398687</c:v>
                </c:pt>
                <c:pt idx="92">
                  <c:v>0.18012075139817463</c:v>
                </c:pt>
                <c:pt idx="93">
                  <c:v>0.18045298358877315</c:v>
                </c:pt>
                <c:pt idx="94">
                  <c:v>0.18069176219047689</c:v>
                </c:pt>
                <c:pt idx="95">
                  <c:v>0.18093821566817714</c:v>
                </c:pt>
                <c:pt idx="96">
                  <c:v>0.18126240342624755</c:v>
                </c:pt>
                <c:pt idx="97">
                  <c:v>0.18159254153895232</c:v>
                </c:pt>
                <c:pt idx="98">
                  <c:v>0.18186460869797227</c:v>
                </c:pt>
                <c:pt idx="99">
                  <c:v>0.18213800027186755</c:v>
                </c:pt>
                <c:pt idx="100">
                  <c:v>0.18242899788461275</c:v>
                </c:pt>
                <c:pt idx="101">
                  <c:v>0.18271503063332695</c:v>
                </c:pt>
                <c:pt idx="102">
                  <c:v>0.18300812000604116</c:v>
                </c:pt>
                <c:pt idx="103">
                  <c:v>0.18330216156309476</c:v>
                </c:pt>
                <c:pt idx="104">
                  <c:v>0.183658567269809</c:v>
                </c:pt>
                <c:pt idx="105">
                  <c:v>0.1838976385824016</c:v>
                </c:pt>
                <c:pt idx="106">
                  <c:v>0.18419905631000999</c:v>
                </c:pt>
                <c:pt idx="107">
                  <c:v>0.18450291499908844</c:v>
                </c:pt>
                <c:pt idx="108">
                  <c:v>0.18488724665089173</c:v>
                </c:pt>
                <c:pt idx="109">
                  <c:v>0.18519441513262325</c:v>
                </c:pt>
                <c:pt idx="110">
                  <c:v>0.18553782571116884</c:v>
                </c:pt>
                <c:pt idx="111">
                  <c:v>0.18574593238956383</c:v>
                </c:pt>
                <c:pt idx="112">
                  <c:v>0.18606117397483901</c:v>
                </c:pt>
                <c:pt idx="113">
                  <c:v>0.18647368631640648</c:v>
                </c:pt>
                <c:pt idx="114">
                  <c:v>0.18689494730838763</c:v>
                </c:pt>
                <c:pt idx="115">
                  <c:v>0.18713083361947702</c:v>
                </c:pt>
                <c:pt idx="116">
                  <c:v>0.1874437619482987</c:v>
                </c:pt>
                <c:pt idx="117">
                  <c:v>0.18775694320512404</c:v>
                </c:pt>
                <c:pt idx="118">
                  <c:v>0.18810125222993701</c:v>
                </c:pt>
                <c:pt idx="119">
                  <c:v>0.18845934667221043</c:v>
                </c:pt>
                <c:pt idx="120">
                  <c:v>0.18881124932364846</c:v>
                </c:pt>
                <c:pt idx="121">
                  <c:v>0.18915490583116568</c:v>
                </c:pt>
                <c:pt idx="122">
                  <c:v>0.18960613869897824</c:v>
                </c:pt>
                <c:pt idx="123">
                  <c:v>0.18979104772896438</c:v>
                </c:pt>
                <c:pt idx="124">
                  <c:v>0.19018985954330159</c:v>
                </c:pt>
                <c:pt idx="125">
                  <c:v>0.19059836265751007</c:v>
                </c:pt>
                <c:pt idx="126">
                  <c:v>0.19086206281558438</c:v>
                </c:pt>
                <c:pt idx="127">
                  <c:v>0.19113499907287435</c:v>
                </c:pt>
                <c:pt idx="128">
                  <c:v>0.1916821204213166</c:v>
                </c:pt>
                <c:pt idx="129">
                  <c:v>0.19192206913930332</c:v>
                </c:pt>
                <c:pt idx="130">
                  <c:v>0.19228681029126515</c:v>
                </c:pt>
                <c:pt idx="131">
                  <c:v>0.19265386784661254</c:v>
                </c:pt>
                <c:pt idx="132">
                  <c:v>0.19302323232108809</c:v>
                </c:pt>
                <c:pt idx="133">
                  <c:v>0.1933948942417576</c:v>
                </c:pt>
                <c:pt idx="134">
                  <c:v>0.19378139093111346</c:v>
                </c:pt>
                <c:pt idx="135">
                  <c:v>0.1941545888717513</c:v>
                </c:pt>
                <c:pt idx="136">
                  <c:v>0.19459913840567222</c:v>
                </c:pt>
                <c:pt idx="137">
                  <c:v>0.19485301397202082</c:v>
                </c:pt>
                <c:pt idx="138">
                  <c:v>0.19504987348194969</c:v>
                </c:pt>
                <c:pt idx="139">
                  <c:v>0.19563468519789295</c:v>
                </c:pt>
                <c:pt idx="140">
                  <c:v>0.19596611648103024</c:v>
                </c:pt>
                <c:pt idx="141">
                  <c:v>0.19647454749719917</c:v>
                </c:pt>
                <c:pt idx="142">
                  <c:v>0.19683559176441423</c:v>
                </c:pt>
                <c:pt idx="143">
                  <c:v>0.19733741354944856</c:v>
                </c:pt>
                <c:pt idx="144">
                  <c:v>0.1976364052897388</c:v>
                </c:pt>
                <c:pt idx="145">
                  <c:v>0.19798507441767854</c:v>
                </c:pt>
                <c:pt idx="146">
                  <c:v>0.19823632256675139</c:v>
                </c:pt>
                <c:pt idx="147">
                  <c:v>0.19878281782338947</c:v>
                </c:pt>
                <c:pt idx="148">
                  <c:v>0.19921465232272206</c:v>
                </c:pt>
                <c:pt idx="149">
                  <c:v>0.19966965992571173</c:v>
                </c:pt>
                <c:pt idx="150">
                  <c:v>0.20001603324003225</c:v>
                </c:pt>
                <c:pt idx="151">
                  <c:v>0.20049164339128756</c:v>
                </c:pt>
                <c:pt idx="152">
                  <c:v>0.20072952876584749</c:v>
                </c:pt>
                <c:pt idx="153">
                  <c:v>0.20104105596302047</c:v>
                </c:pt>
                <c:pt idx="154">
                  <c:v>0.20139515607946246</c:v>
                </c:pt>
                <c:pt idx="155">
                  <c:v>0.20186019949991296</c:v>
                </c:pt>
                <c:pt idx="156">
                  <c:v>0.20202782876904268</c:v>
                </c:pt>
                <c:pt idx="157">
                  <c:v>0.20237251069388451</c:v>
                </c:pt>
                <c:pt idx="158">
                  <c:v>0.20276062943619699</c:v>
                </c:pt>
                <c:pt idx="159">
                  <c:v>0.20317062941737696</c:v>
                </c:pt>
                <c:pt idx="160">
                  <c:v>0.20344976635625867</c:v>
                </c:pt>
                <c:pt idx="161">
                  <c:v>0.20379820977799734</c:v>
                </c:pt>
                <c:pt idx="162">
                  <c:v>0.20422058913342722</c:v>
                </c:pt>
                <c:pt idx="163">
                  <c:v>0.20459814048924208</c:v>
                </c:pt>
                <c:pt idx="164">
                  <c:v>0.2048643136337327</c:v>
                </c:pt>
                <c:pt idx="165">
                  <c:v>0.20532230625568904</c:v>
                </c:pt>
                <c:pt idx="166">
                  <c:v>0.20565766041695466</c:v>
                </c:pt>
                <c:pt idx="167">
                  <c:v>0.20602116092820455</c:v>
                </c:pt>
                <c:pt idx="168">
                  <c:v>0.20630942760701232</c:v>
                </c:pt>
                <c:pt idx="169">
                  <c:v>0.20679120490859138</c:v>
                </c:pt>
                <c:pt idx="170">
                  <c:v>0.20704200678275142</c:v>
                </c:pt>
                <c:pt idx="171">
                  <c:v>0.20753583713087997</c:v>
                </c:pt>
                <c:pt idx="172">
                  <c:v>0.20792316301766545</c:v>
                </c:pt>
                <c:pt idx="173">
                  <c:v>0.20826463697402531</c:v>
                </c:pt>
                <c:pt idx="174">
                  <c:v>0.20874265490934718</c:v>
                </c:pt>
                <c:pt idx="175">
                  <c:v>0.20894925593629798</c:v>
                </c:pt>
                <c:pt idx="176">
                  <c:v>0.20942318984555053</c:v>
                </c:pt>
                <c:pt idx="177">
                  <c:v>0.20983628367436191</c:v>
                </c:pt>
                <c:pt idx="178">
                  <c:v>0.21018711807409618</c:v>
                </c:pt>
                <c:pt idx="179">
                  <c:v>0.21062846667703727</c:v>
                </c:pt>
                <c:pt idx="180">
                  <c:v>0.2109410128835052</c:v>
                </c:pt>
                <c:pt idx="181">
                  <c:v>0.21142953347527094</c:v>
                </c:pt>
                <c:pt idx="182">
                  <c:v>0.21177991086752446</c:v>
                </c:pt>
                <c:pt idx="183">
                  <c:v>0.21213164476007917</c:v>
                </c:pt>
                <c:pt idx="184">
                  <c:v>0.212614313016249</c:v>
                </c:pt>
                <c:pt idx="185">
                  <c:v>0.21282533961082195</c:v>
                </c:pt>
                <c:pt idx="186">
                  <c:v>0.21324411402077237</c:v>
                </c:pt>
                <c:pt idx="187">
                  <c:v>0.21364187132566426</c:v>
                </c:pt>
                <c:pt idx="188">
                  <c:v>0.21399972401157497</c:v>
                </c:pt>
                <c:pt idx="189">
                  <c:v>0.21444210418445864</c:v>
                </c:pt>
                <c:pt idx="190">
                  <c:v>0.21486997334333502</c:v>
                </c:pt>
                <c:pt idx="191">
                  <c:v>0.21518327733356024</c:v>
                </c:pt>
                <c:pt idx="192">
                  <c:v>0.2156625555624383</c:v>
                </c:pt>
                <c:pt idx="193">
                  <c:v>0.21600563735720524</c:v>
                </c:pt>
                <c:pt idx="194">
                  <c:v>0.21656612850216206</c:v>
                </c:pt>
                <c:pt idx="195">
                  <c:v>0.21683433130316931</c:v>
                </c:pt>
                <c:pt idx="196">
                  <c:v>0.21725103851222016</c:v>
                </c:pt>
                <c:pt idx="197">
                  <c:v>0.21766931126437528</c:v>
                </c:pt>
                <c:pt idx="198">
                  <c:v>0.21812495750838989</c:v>
                </c:pt>
              </c:numCache>
            </c:numRef>
          </c:xVal>
          <c:yVal>
            <c:numRef>
              <c:f>'Efficient frontier'!$D$2:$D$200</c:f>
              <c:numCache>
                <c:formatCode>0.0%</c:formatCode>
                <c:ptCount val="199"/>
                <c:pt idx="0">
                  <c:v>0.26200900107132408</c:v>
                </c:pt>
                <c:pt idx="1">
                  <c:v>0.26587857416267702</c:v>
                </c:pt>
                <c:pt idx="2">
                  <c:v>0.26698485410295891</c:v>
                </c:pt>
                <c:pt idx="3">
                  <c:v>0.26815203775963559</c:v>
                </c:pt>
                <c:pt idx="4">
                  <c:v>0.26920937079838203</c:v>
                </c:pt>
                <c:pt idx="5">
                  <c:v>0.27124559101036083</c:v>
                </c:pt>
                <c:pt idx="6">
                  <c:v>0.27423901232907055</c:v>
                </c:pt>
                <c:pt idx="7">
                  <c:v>0.27590264768098538</c:v>
                </c:pt>
                <c:pt idx="8">
                  <c:v>0.27804721787464404</c:v>
                </c:pt>
                <c:pt idx="9">
                  <c:v>0.27997049957335474</c:v>
                </c:pt>
                <c:pt idx="10">
                  <c:v>0.28164896931316341</c:v>
                </c:pt>
                <c:pt idx="11">
                  <c:v>0.28337288137620065</c:v>
                </c:pt>
                <c:pt idx="12">
                  <c:v>0.28515022066872997</c:v>
                </c:pt>
                <c:pt idx="13">
                  <c:v>0.287099537662451</c:v>
                </c:pt>
                <c:pt idx="14">
                  <c:v>0.28912932003966674</c:v>
                </c:pt>
                <c:pt idx="15">
                  <c:v>0.29083161672517899</c:v>
                </c:pt>
                <c:pt idx="16">
                  <c:v>0.29253615187752757</c:v>
                </c:pt>
                <c:pt idx="17">
                  <c:v>0.29400812847477731</c:v>
                </c:pt>
                <c:pt idx="18">
                  <c:v>0.29583013030861638</c:v>
                </c:pt>
                <c:pt idx="19">
                  <c:v>0.29750130026446686</c:v>
                </c:pt>
                <c:pt idx="20">
                  <c:v>0.29951832208220908</c:v>
                </c:pt>
                <c:pt idx="21">
                  <c:v>0.30088347585892206</c:v>
                </c:pt>
                <c:pt idx="22">
                  <c:v>0.30314732029555147</c:v>
                </c:pt>
                <c:pt idx="23">
                  <c:v>0.30459219300224682</c:v>
                </c:pt>
                <c:pt idx="24">
                  <c:v>0.30659476376368477</c:v>
                </c:pt>
                <c:pt idx="25">
                  <c:v>0.30919554048972087</c:v>
                </c:pt>
                <c:pt idx="26">
                  <c:v>0.31053274579801338</c:v>
                </c:pt>
                <c:pt idx="27">
                  <c:v>0.31242312456917087</c:v>
                </c:pt>
                <c:pt idx="28">
                  <c:v>0.31439021591628946</c:v>
                </c:pt>
                <c:pt idx="29">
                  <c:v>0.31621646199052988</c:v>
                </c:pt>
                <c:pt idx="30">
                  <c:v>0.31804523486433145</c:v>
                </c:pt>
                <c:pt idx="31">
                  <c:v>0.31987653801921123</c:v>
                </c:pt>
                <c:pt idx="32">
                  <c:v>0.32176730879048443</c:v>
                </c:pt>
                <c:pt idx="33">
                  <c:v>0.32358503011859052</c:v>
                </c:pt>
                <c:pt idx="34">
                  <c:v>0.32540524074049504</c:v>
                </c:pt>
                <c:pt idx="35">
                  <c:v>0.32721870721673629</c:v>
                </c:pt>
                <c:pt idx="36">
                  <c:v>0.32902106951344923</c:v>
                </c:pt>
                <c:pt idx="37">
                  <c:v>0.33043638763078076</c:v>
                </c:pt>
                <c:pt idx="38">
                  <c:v>0.33257741661290452</c:v>
                </c:pt>
                <c:pt idx="39">
                  <c:v>0.33427797233923395</c:v>
                </c:pt>
                <c:pt idx="40">
                  <c:v>0.3364390728637916</c:v>
                </c:pt>
                <c:pt idx="41">
                  <c:v>0.33788028733453235</c:v>
                </c:pt>
                <c:pt idx="42">
                  <c:v>0.33974460367580805</c:v>
                </c:pt>
                <c:pt idx="43">
                  <c:v>0.34129450533607475</c:v>
                </c:pt>
                <c:pt idx="44">
                  <c:v>0.34335012089958084</c:v>
                </c:pt>
                <c:pt idx="45">
                  <c:v>0.34586131885050286</c:v>
                </c:pt>
                <c:pt idx="46">
                  <c:v>0.34758419478997471</c:v>
                </c:pt>
                <c:pt idx="47">
                  <c:v>0.34946558571044162</c:v>
                </c:pt>
                <c:pt idx="48">
                  <c:v>0.35155703780381287</c:v>
                </c:pt>
                <c:pt idx="49">
                  <c:v>0.35311882919912896</c:v>
                </c:pt>
                <c:pt idx="50">
                  <c:v>0.35485135816265223</c:v>
                </c:pt>
                <c:pt idx="51">
                  <c:v>0.35685026660595764</c:v>
                </c:pt>
                <c:pt idx="52">
                  <c:v>0.35883866206887616</c:v>
                </c:pt>
                <c:pt idx="53">
                  <c:v>0.36047163254386172</c:v>
                </c:pt>
                <c:pt idx="54">
                  <c:v>0.36256773413194265</c:v>
                </c:pt>
                <c:pt idx="55">
                  <c:v>0.36454921315024502</c:v>
                </c:pt>
                <c:pt idx="56">
                  <c:v>0.36669261556537958</c:v>
                </c:pt>
                <c:pt idx="57">
                  <c:v>0.36823846954696782</c:v>
                </c:pt>
                <c:pt idx="58">
                  <c:v>0.37006616920853319</c:v>
                </c:pt>
                <c:pt idx="59">
                  <c:v>0.37147269653799664</c:v>
                </c:pt>
                <c:pt idx="60">
                  <c:v>0.37388366381131966</c:v>
                </c:pt>
                <c:pt idx="61">
                  <c:v>0.37542316214221438</c:v>
                </c:pt>
                <c:pt idx="62">
                  <c:v>0.37747376513332842</c:v>
                </c:pt>
                <c:pt idx="63">
                  <c:v>0.37963278824397739</c:v>
                </c:pt>
                <c:pt idx="64">
                  <c:v>0.38178755289304189</c:v>
                </c:pt>
                <c:pt idx="65">
                  <c:v>0.38326527429293988</c:v>
                </c:pt>
                <c:pt idx="66">
                  <c:v>0.38460198246931609</c:v>
                </c:pt>
                <c:pt idx="67">
                  <c:v>0.3852308614834361</c:v>
                </c:pt>
                <c:pt idx="68">
                  <c:v>0.38651148871344065</c:v>
                </c:pt>
                <c:pt idx="69">
                  <c:v>0.38763694387919356</c:v>
                </c:pt>
                <c:pt idx="70">
                  <c:v>0.38855184671990961</c:v>
                </c:pt>
                <c:pt idx="71">
                  <c:v>0.39002823811544074</c:v>
                </c:pt>
                <c:pt idx="72">
                  <c:v>0.39130281682777435</c:v>
                </c:pt>
                <c:pt idx="73">
                  <c:v>0.39236513628685188</c:v>
                </c:pt>
                <c:pt idx="74">
                  <c:v>0.39321831837292098</c:v>
                </c:pt>
                <c:pt idx="75">
                  <c:v>0.39427129123409199</c:v>
                </c:pt>
                <c:pt idx="76">
                  <c:v>0.39524855730512831</c:v>
                </c:pt>
                <c:pt idx="77">
                  <c:v>0.39688311781354169</c:v>
                </c:pt>
                <c:pt idx="78">
                  <c:v>0.39820185291236854</c:v>
                </c:pt>
                <c:pt idx="79">
                  <c:v>0.39904921158461071</c:v>
                </c:pt>
                <c:pt idx="80">
                  <c:v>0.40071725776272404</c:v>
                </c:pt>
                <c:pt idx="81">
                  <c:v>0.40119527805677513</c:v>
                </c:pt>
                <c:pt idx="82">
                  <c:v>0.40248910260950344</c:v>
                </c:pt>
                <c:pt idx="83">
                  <c:v>0.40364818606007691</c:v>
                </c:pt>
                <c:pt idx="84">
                  <c:v>0.40422404597825023</c:v>
                </c:pt>
                <c:pt idx="85">
                  <c:v>0.40585525225311359</c:v>
                </c:pt>
                <c:pt idx="86">
                  <c:v>0.40704882356998184</c:v>
                </c:pt>
                <c:pt idx="87">
                  <c:v>0.40821662867054265</c:v>
                </c:pt>
                <c:pt idx="88">
                  <c:v>0.40936997081258819</c:v>
                </c:pt>
                <c:pt idx="89">
                  <c:v>0.41106783771169764</c:v>
                </c:pt>
                <c:pt idx="90">
                  <c:v>0.41196912793405938</c:v>
                </c:pt>
                <c:pt idx="91">
                  <c:v>0.41311181133661701</c:v>
                </c:pt>
                <c:pt idx="92">
                  <c:v>0.41370198950009618</c:v>
                </c:pt>
                <c:pt idx="93">
                  <c:v>0.41511756165641622</c:v>
                </c:pt>
                <c:pt idx="94">
                  <c:v>0.41612084731135157</c:v>
                </c:pt>
                <c:pt idx="95">
                  <c:v>0.41715551228239267</c:v>
                </c:pt>
                <c:pt idx="96">
                  <c:v>0.41850048961116504</c:v>
                </c:pt>
                <c:pt idx="97">
                  <c:v>0.41985666531577515</c:v>
                </c:pt>
                <c:pt idx="98">
                  <c:v>0.42096359635970537</c:v>
                </c:pt>
                <c:pt idx="99">
                  <c:v>0.42207026615140331</c:v>
                </c:pt>
                <c:pt idx="100">
                  <c:v>0.42323437824270616</c:v>
                </c:pt>
                <c:pt idx="101">
                  <c:v>0.42437632989568619</c:v>
                </c:pt>
                <c:pt idx="102">
                  <c:v>0.42553385597322202</c:v>
                </c:pt>
                <c:pt idx="103">
                  <c:v>0.42668638538856873</c:v>
                </c:pt>
                <c:pt idx="104">
                  <c:v>0.42807140251748832</c:v>
                </c:pt>
                <c:pt idx="105">
                  <c:v>0.42899422868185422</c:v>
                </c:pt>
                <c:pt idx="106">
                  <c:v>0.43014954404815042</c:v>
                </c:pt>
                <c:pt idx="107">
                  <c:v>0.431305789554288</c:v>
                </c:pt>
                <c:pt idx="108">
                  <c:v>0.43275678015687458</c:v>
                </c:pt>
                <c:pt idx="109">
                  <c:v>0.43390641070511626</c:v>
                </c:pt>
                <c:pt idx="110">
                  <c:v>0.43518520529150151</c:v>
                </c:pt>
                <c:pt idx="111">
                  <c:v>0.43595295210738461</c:v>
                </c:pt>
                <c:pt idx="112">
                  <c:v>0.43711320331813264</c:v>
                </c:pt>
                <c:pt idx="113">
                  <c:v>0.43861821427331904</c:v>
                </c:pt>
                <c:pt idx="114">
                  <c:v>0.44014219507614993</c:v>
                </c:pt>
                <c:pt idx="115">
                  <c:v>0.44098914498165076</c:v>
                </c:pt>
                <c:pt idx="116">
                  <c:v>0.44210991090229368</c:v>
                </c:pt>
                <c:pt idx="117">
                  <c:v>0.44322325117111516</c:v>
                </c:pt>
                <c:pt idx="118">
                  <c:v>0.44443920128953729</c:v>
                </c:pt>
                <c:pt idx="119">
                  <c:v>0.44569538924399743</c:v>
                </c:pt>
                <c:pt idx="120">
                  <c:v>0.4469229581578229</c:v>
                </c:pt>
                <c:pt idx="121">
                  <c:v>0.44811280588373514</c:v>
                </c:pt>
                <c:pt idx="122">
                  <c:v>0.44966607788248925</c:v>
                </c:pt>
                <c:pt idx="123">
                  <c:v>0.45029785517662568</c:v>
                </c:pt>
                <c:pt idx="124">
                  <c:v>0.45165582070518817</c:v>
                </c:pt>
                <c:pt idx="125">
                  <c:v>0.45303783511192908</c:v>
                </c:pt>
                <c:pt idx="126">
                  <c:v>0.45392383954479132</c:v>
                </c:pt>
                <c:pt idx="127">
                  <c:v>0.45483694246125395</c:v>
                </c:pt>
                <c:pt idx="128">
                  <c:v>0.45665860677422199</c:v>
                </c:pt>
                <c:pt idx="129">
                  <c:v>0.45745472829149136</c:v>
                </c:pt>
                <c:pt idx="130">
                  <c:v>0.45865565388444751</c:v>
                </c:pt>
                <c:pt idx="131">
                  <c:v>0.45985756488223162</c:v>
                </c:pt>
                <c:pt idx="132">
                  <c:v>0.4610604620900054</c:v>
                </c:pt>
                <c:pt idx="133">
                  <c:v>0.46226434631366353</c:v>
                </c:pt>
                <c:pt idx="134">
                  <c:v>0.46351126477203874</c:v>
                </c:pt>
                <c:pt idx="135">
                  <c:v>0.46470574713840218</c:v>
                </c:pt>
                <c:pt idx="136">
                  <c:v>0.46612612846513968</c:v>
                </c:pt>
                <c:pt idx="137">
                  <c:v>0.46693199568082089</c:v>
                </c:pt>
                <c:pt idx="138">
                  <c:v>0.46755389919133861</c:v>
                </c:pt>
                <c:pt idx="139">
                  <c:v>0.46939488331313517</c:v>
                </c:pt>
                <c:pt idx="140">
                  <c:v>0.4704336267362732</c:v>
                </c:pt>
                <c:pt idx="141">
                  <c:v>0.47201723987358002</c:v>
                </c:pt>
                <c:pt idx="142">
                  <c:v>0.47313507472908989</c:v>
                </c:pt>
                <c:pt idx="143">
                  <c:v>0.4746826147512222</c:v>
                </c:pt>
                <c:pt idx="144">
                  <c:v>0.47559927240450772</c:v>
                </c:pt>
                <c:pt idx="145">
                  <c:v>0.47666441596964093</c:v>
                </c:pt>
                <c:pt idx="146">
                  <c:v>0.47742818187501035</c:v>
                </c:pt>
                <c:pt idx="147">
                  <c:v>0.47908598340633524</c:v>
                </c:pt>
                <c:pt idx="148">
                  <c:v>0.48038925440977365</c:v>
                </c:pt>
                <c:pt idx="149">
                  <c:v>0.48175448830691425</c:v>
                </c:pt>
                <c:pt idx="150">
                  <c:v>0.48278857191203683</c:v>
                </c:pt>
                <c:pt idx="151">
                  <c:v>0.48420341362790009</c:v>
                </c:pt>
                <c:pt idx="152">
                  <c:v>0.4849085378568565</c:v>
                </c:pt>
                <c:pt idx="153">
                  <c:v>0.48582819206871108</c:v>
                </c:pt>
                <c:pt idx="154">
                  <c:v>0.48686846030989717</c:v>
                </c:pt>
                <c:pt idx="155">
                  <c:v>0.48822379247128644</c:v>
                </c:pt>
                <c:pt idx="156">
                  <c:v>0.488714837175793</c:v>
                </c:pt>
                <c:pt idx="157">
                  <c:v>0.48971469327830341</c:v>
                </c:pt>
                <c:pt idx="158">
                  <c:v>0.49083481645650795</c:v>
                </c:pt>
                <c:pt idx="159">
                  <c:v>0.49201302450449225</c:v>
                </c:pt>
                <c:pt idx="160">
                  <c:v>0.49281005746499407</c:v>
                </c:pt>
                <c:pt idx="161">
                  <c:v>0.49380484051598628</c:v>
                </c:pt>
                <c:pt idx="162">
                  <c:v>0.49500317463998789</c:v>
                </c:pt>
                <c:pt idx="163">
                  <c:v>0.49606937913050442</c:v>
                </c:pt>
                <c:pt idx="164">
                  <c:v>0.49681840212795469</c:v>
                </c:pt>
                <c:pt idx="165">
                  <c:v>0.49810167276819506</c:v>
                </c:pt>
                <c:pt idx="166">
                  <c:v>0.49903725037818014</c:v>
                </c:pt>
                <c:pt idx="167">
                  <c:v>0.50004746189536964</c:v>
                </c:pt>
                <c:pt idx="168">
                  <c:v>0.5008459036871753</c:v>
                </c:pt>
                <c:pt idx="169">
                  <c:v>0.50217451118402567</c:v>
                </c:pt>
                <c:pt idx="170">
                  <c:v>0.50286369943185361</c:v>
                </c:pt>
                <c:pt idx="171">
                  <c:v>0.50421506337362643</c:v>
                </c:pt>
                <c:pt idx="172">
                  <c:v>0.50527030375383908</c:v>
                </c:pt>
                <c:pt idx="173">
                  <c:v>0.50619637656154248</c:v>
                </c:pt>
                <c:pt idx="174">
                  <c:v>0.50748917248497061</c:v>
                </c:pt>
                <c:pt idx="175">
                  <c:v>0.50804660105391908</c:v>
                </c:pt>
                <c:pt idx="176">
                  <c:v>0.50931900172499645</c:v>
                </c:pt>
                <c:pt idx="177">
                  <c:v>0.51042415753635795</c:v>
                </c:pt>
                <c:pt idx="178">
                  <c:v>0.51135870241345671</c:v>
                </c:pt>
                <c:pt idx="179">
                  <c:v>0.51253083610263728</c:v>
                </c:pt>
                <c:pt idx="180">
                  <c:v>0.51335733756588975</c:v>
                </c:pt>
                <c:pt idx="181">
                  <c:v>0.51464531378587508</c:v>
                </c:pt>
                <c:pt idx="182">
                  <c:v>0.51556597572626139</c:v>
                </c:pt>
                <c:pt idx="183">
                  <c:v>0.51648719493893802</c:v>
                </c:pt>
                <c:pt idx="184">
                  <c:v>0.51774527512078428</c:v>
                </c:pt>
                <c:pt idx="185">
                  <c:v>0.51829274028596783</c:v>
                </c:pt>
                <c:pt idx="186">
                  <c:v>0.51938203534732441</c:v>
                </c:pt>
                <c:pt idx="187">
                  <c:v>0.52041050662958632</c:v>
                </c:pt>
                <c:pt idx="188">
                  <c:v>0.52133233325192885</c:v>
                </c:pt>
                <c:pt idx="189">
                  <c:v>0.52246952943466618</c:v>
                </c:pt>
                <c:pt idx="190">
                  <c:v>0.52356463058594871</c:v>
                </c:pt>
                <c:pt idx="191">
                  <c:v>0.52436385507344729</c:v>
                </c:pt>
                <c:pt idx="192">
                  <c:v>0.52558409366094971</c:v>
                </c:pt>
                <c:pt idx="193">
                  <c:v>0.5264537699599463</c:v>
                </c:pt>
                <c:pt idx="194">
                  <c:v>0.5278720462006552</c:v>
                </c:pt>
                <c:pt idx="195">
                  <c:v>0.52854653813115604</c:v>
                </c:pt>
                <c:pt idx="196">
                  <c:v>0.52959399341065128</c:v>
                </c:pt>
                <c:pt idx="197">
                  <c:v>0.53064216346633453</c:v>
                </c:pt>
                <c:pt idx="198">
                  <c:v>0.5317822293517378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200-480D-94DE-68FB4A61DAA8}"/>
            </c:ext>
          </c:extLst>
        </c:ser>
        <c:ser>
          <c:idx val="1"/>
          <c:order val="2"/>
          <c:spPr>
            <a:ln>
              <a:noFill/>
            </a:ln>
          </c:spPr>
          <c:marker>
            <c:symbol val="square"/>
            <c:size val="7"/>
            <c:spPr>
              <a:ln>
                <a:noFill/>
              </a:ln>
            </c:spPr>
          </c:marker>
          <c:xVal>
            <c:numRef>
              <c:f>Portfolio!$L$4</c:f>
              <c:numCache>
                <c:formatCode>0.0%</c:formatCode>
                <c:ptCount val="1"/>
                <c:pt idx="0">
                  <c:v>0.20874265490934718</c:v>
                </c:pt>
              </c:numCache>
            </c:numRef>
          </c:xVal>
          <c:yVal>
            <c:numRef>
              <c:f>Portfolio!$L$2</c:f>
              <c:numCache>
                <c:formatCode>0.0%</c:formatCode>
                <c:ptCount val="1"/>
                <c:pt idx="0">
                  <c:v>0.50748917248497061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B200-480D-94DE-68FB4A61DAA8}"/>
            </c:ext>
          </c:extLst>
        </c:ser>
        <c:axId val="175747072"/>
        <c:axId val="175749760"/>
      </c:scatterChart>
      <c:valAx>
        <c:axId val="175747072"/>
        <c:scaling>
          <c:orientation val="minMax"/>
          <c:max val="0.4"/>
        </c:scaling>
        <c:axPos val="b"/>
        <c:title>
          <c:tx>
            <c:strRef>
              <c:f>'Efficient frontier'!$A$1</c:f>
              <c:strCache>
                <c:ptCount val="1"/>
                <c:pt idx="0">
                  <c:v>Variance / year</c:v>
                </c:pt>
              </c:strCache>
            </c:strRef>
          </c:tx>
          <c:layout/>
          <c:txPr>
            <a:bodyPr/>
            <a:lstStyle/>
            <a:p>
              <a:pPr>
                <a:defRPr sz="1100" b="0"/>
              </a:pPr>
              <a:endParaRPr lang="de-DE"/>
            </a:p>
          </c:txPr>
        </c:title>
        <c:numFmt formatCode="0%" sourceLinked="0"/>
        <c:tickLblPos val="nextTo"/>
        <c:crossAx val="175749760"/>
        <c:crosses val="autoZero"/>
        <c:crossBetween val="midCat"/>
      </c:valAx>
      <c:valAx>
        <c:axId val="175749760"/>
        <c:scaling>
          <c:orientation val="minMax"/>
          <c:min val="0"/>
        </c:scaling>
        <c:axPos val="l"/>
        <c:majorGridlines/>
        <c:title>
          <c:tx>
            <c:strRef>
              <c:f>'Efficient frontier'!$D$1</c:f>
              <c:strCache>
                <c:ptCount val="1"/>
                <c:pt idx="0">
                  <c:v>Return / year</c:v>
                </c:pt>
              </c:strCache>
            </c:strRef>
          </c:tx>
          <c:layout>
            <c:manualLayout>
              <c:xMode val="edge"/>
              <c:yMode val="edge"/>
              <c:x val="1.3888888888888999E-2"/>
              <c:y val="0.26450183727034132"/>
            </c:manualLayout>
          </c:layout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0"/>
        <c:tickLblPos val="nextTo"/>
        <c:crossAx val="175747072"/>
        <c:crosses val="autoZero"/>
        <c:crossBetween val="midCat"/>
      </c:valAx>
    </c:plotArea>
    <c:plotVisOnly val="1"/>
    <c:dispBlanksAs val="gap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2"/>
          <c:order val="0"/>
          <c:tx>
            <c:strRef>
              <c:f>'Efficient frontier'!$H$1</c:f>
              <c:strCache>
                <c:ptCount val="1"/>
                <c:pt idx="0">
                  <c:v>Sharpe ratio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3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'Efficient frontier'!$G$2:$G$355</c:f>
              <c:numCache>
                <c:formatCode>0.00%</c:formatCode>
                <c:ptCount val="354"/>
                <c:pt idx="0">
                  <c:v>0.1625520861802856</c:v>
                </c:pt>
                <c:pt idx="1">
                  <c:v>0.16456301031943088</c:v>
                </c:pt>
                <c:pt idx="2">
                  <c:v>0.16252786781392925</c:v>
                </c:pt>
                <c:pt idx="3">
                  <c:v>0.1625610190734883</c:v>
                </c:pt>
                <c:pt idx="4">
                  <c:v>0.1632353696716542</c:v>
                </c:pt>
                <c:pt idx="5">
                  <c:v>0.16808713982182977</c:v>
                </c:pt>
                <c:pt idx="6">
                  <c:v>0.16256463847595448</c:v>
                </c:pt>
                <c:pt idx="7">
                  <c:v>0.16259266738730171</c:v>
                </c:pt>
                <c:pt idx="8">
                  <c:v>0.16360078406894041</c:v>
                </c:pt>
                <c:pt idx="9">
                  <c:v>0.18067376074551245</c:v>
                </c:pt>
                <c:pt idx="10">
                  <c:v>0.16269485960227326</c:v>
                </c:pt>
                <c:pt idx="11">
                  <c:v>0.16280838208527193</c:v>
                </c:pt>
                <c:pt idx="12">
                  <c:v>0.16337125002360575</c:v>
                </c:pt>
                <c:pt idx="13">
                  <c:v>0.16820614790146093</c:v>
                </c:pt>
                <c:pt idx="14">
                  <c:v>0.16284356247559106</c:v>
                </c:pt>
                <c:pt idx="15">
                  <c:v>0.16291555235411082</c:v>
                </c:pt>
                <c:pt idx="16">
                  <c:v>0.16330618191089918</c:v>
                </c:pt>
                <c:pt idx="17">
                  <c:v>0.16829907710593384</c:v>
                </c:pt>
                <c:pt idx="18">
                  <c:v>0.16429969368639874</c:v>
                </c:pt>
                <c:pt idx="19">
                  <c:v>0.16368103421980695</c:v>
                </c:pt>
                <c:pt idx="20">
                  <c:v>0.16322450058159044</c:v>
                </c:pt>
                <c:pt idx="21">
                  <c:v>0.16337900013768492</c:v>
                </c:pt>
                <c:pt idx="22">
                  <c:v>0.16349011446107498</c:v>
                </c:pt>
                <c:pt idx="23">
                  <c:v>0.16358583374506952</c:v>
                </c:pt>
                <c:pt idx="24">
                  <c:v>0.16367511391499145</c:v>
                </c:pt>
                <c:pt idx="25">
                  <c:v>0.16382642448250606</c:v>
                </c:pt>
                <c:pt idx="26">
                  <c:v>0.16394250938336086</c:v>
                </c:pt>
                <c:pt idx="27">
                  <c:v>0.16882986222456942</c:v>
                </c:pt>
                <c:pt idx="28">
                  <c:v>0.16418491086634268</c:v>
                </c:pt>
                <c:pt idx="29">
                  <c:v>0.16434982560501687</c:v>
                </c:pt>
                <c:pt idx="30">
                  <c:v>0.16447708423678575</c:v>
                </c:pt>
                <c:pt idx="31">
                  <c:v>0.16503523237277373</c:v>
                </c:pt>
                <c:pt idx="32">
                  <c:v>0.16518544129103363</c:v>
                </c:pt>
                <c:pt idx="33">
                  <c:v>0.16528074825296879</c:v>
                </c:pt>
                <c:pt idx="34">
                  <c:v>0.16437394415776918</c:v>
                </c:pt>
                <c:pt idx="35">
                  <c:v>0.16932236032645953</c:v>
                </c:pt>
                <c:pt idx="36">
                  <c:v>0.18067376074551245</c:v>
                </c:pt>
                <c:pt idx="37">
                  <c:v>0.16546517702188734</c:v>
                </c:pt>
                <c:pt idx="38">
                  <c:v>0.16566560665183649</c:v>
                </c:pt>
                <c:pt idx="39">
                  <c:v>0.16580093577689126</c:v>
                </c:pt>
                <c:pt idx="40">
                  <c:v>0.16592612453170474</c:v>
                </c:pt>
                <c:pt idx="41">
                  <c:v>0.1668459873430912</c:v>
                </c:pt>
                <c:pt idx="42">
                  <c:v>0.16621081826740802</c:v>
                </c:pt>
                <c:pt idx="43">
                  <c:v>0.16664410714782441</c:v>
                </c:pt>
                <c:pt idx="44">
                  <c:v>0.16603008466536107</c:v>
                </c:pt>
                <c:pt idx="45">
                  <c:v>0.1665638998610286</c:v>
                </c:pt>
                <c:pt idx="46">
                  <c:v>0.16819581111282056</c:v>
                </c:pt>
                <c:pt idx="47">
                  <c:v>0.1667731524127376</c:v>
                </c:pt>
                <c:pt idx="48">
                  <c:v>0.16680300438389017</c:v>
                </c:pt>
                <c:pt idx="49">
                  <c:v>0.16756527508980223</c:v>
                </c:pt>
                <c:pt idx="50">
                  <c:v>0.16844472527312737</c:v>
                </c:pt>
                <c:pt idx="51">
                  <c:v>0.16456823071590287</c:v>
                </c:pt>
                <c:pt idx="52">
                  <c:v>0.16747795856043091</c:v>
                </c:pt>
                <c:pt idx="53">
                  <c:v>0.16813573333122833</c:v>
                </c:pt>
                <c:pt idx="54">
                  <c:v>0.16468436846914902</c:v>
                </c:pt>
                <c:pt idx="55">
                  <c:v>0.16809445113823562</c:v>
                </c:pt>
                <c:pt idx="56">
                  <c:v>0.16982022250983375</c:v>
                </c:pt>
                <c:pt idx="57">
                  <c:v>0.1763930836880887</c:v>
                </c:pt>
                <c:pt idx="58">
                  <c:v>0.16853637517856712</c:v>
                </c:pt>
                <c:pt idx="59">
                  <c:v>0.17597203187739541</c:v>
                </c:pt>
                <c:pt idx="60">
                  <c:v>0.16889386969136755</c:v>
                </c:pt>
                <c:pt idx="61">
                  <c:v>0.16919997635053097</c:v>
                </c:pt>
                <c:pt idx="62">
                  <c:v>0.17610611731853543</c:v>
                </c:pt>
                <c:pt idx="63">
                  <c:v>0.16939771479732246</c:v>
                </c:pt>
                <c:pt idx="64">
                  <c:v>0.16982055414237252</c:v>
                </c:pt>
                <c:pt idx="65">
                  <c:v>0.17116790515968305</c:v>
                </c:pt>
                <c:pt idx="66">
                  <c:v>0.17163548313207055</c:v>
                </c:pt>
                <c:pt idx="67">
                  <c:v>0.17639264456243042</c:v>
                </c:pt>
                <c:pt idx="68">
                  <c:v>0.17066187238476926</c:v>
                </c:pt>
                <c:pt idx="69">
                  <c:v>0.1712122654326711</c:v>
                </c:pt>
                <c:pt idx="70">
                  <c:v>0.1763362200994818</c:v>
                </c:pt>
                <c:pt idx="71">
                  <c:v>0.17643103203837041</c:v>
                </c:pt>
                <c:pt idx="72">
                  <c:v>0.18067376074551245</c:v>
                </c:pt>
                <c:pt idx="73">
                  <c:v>0.17653788290006611</c:v>
                </c:pt>
                <c:pt idx="74">
                  <c:v>0.17655139727112279</c:v>
                </c:pt>
                <c:pt idx="75">
                  <c:v>0.18067376074551245</c:v>
                </c:pt>
                <c:pt idx="76">
                  <c:v>0.1725422477601517</c:v>
                </c:pt>
                <c:pt idx="77">
                  <c:v>0.17277213839452399</c:v>
                </c:pt>
                <c:pt idx="78">
                  <c:v>0.17319355590452057</c:v>
                </c:pt>
                <c:pt idx="79">
                  <c:v>0.17367597512822175</c:v>
                </c:pt>
                <c:pt idx="80">
                  <c:v>0.17394680712908284</c:v>
                </c:pt>
                <c:pt idx="81">
                  <c:v>0.17405092095868802</c:v>
                </c:pt>
                <c:pt idx="82">
                  <c:v>0.17420832078078607</c:v>
                </c:pt>
                <c:pt idx="83">
                  <c:v>0.1745324917832205</c:v>
                </c:pt>
                <c:pt idx="84">
                  <c:v>0.17462637441956397</c:v>
                </c:pt>
                <c:pt idx="85">
                  <c:v>0.17482431555065325</c:v>
                </c:pt>
                <c:pt idx="86">
                  <c:v>0.17502773538649041</c:v>
                </c:pt>
                <c:pt idx="87">
                  <c:v>0.17539512540204671</c:v>
                </c:pt>
                <c:pt idx="88">
                  <c:v>0.17564463983055512</c:v>
                </c:pt>
                <c:pt idx="89">
                  <c:v>0.17544851653240134</c:v>
                </c:pt>
                <c:pt idx="90">
                  <c:v>0.17587256242400717</c:v>
                </c:pt>
                <c:pt idx="91">
                  <c:v>0.17611966089792053</c:v>
                </c:pt>
                <c:pt idx="92">
                  <c:v>0.17652531623780243</c:v>
                </c:pt>
                <c:pt idx="93">
                  <c:v>0.17663408082510013</c:v>
                </c:pt>
                <c:pt idx="94">
                  <c:v>0.17639453157831531</c:v>
                </c:pt>
                <c:pt idx="95">
                  <c:v>0.17716006035572374</c:v>
                </c:pt>
                <c:pt idx="96">
                  <c:v>0.17701316945149914</c:v>
                </c:pt>
                <c:pt idx="97">
                  <c:v>0.17749360496258171</c:v>
                </c:pt>
                <c:pt idx="98">
                  <c:v>0.17779180324171495</c:v>
                </c:pt>
                <c:pt idx="99">
                  <c:v>0.17761351272385784</c:v>
                </c:pt>
                <c:pt idx="100">
                  <c:v>0.17827714078145118</c:v>
                </c:pt>
                <c:pt idx="101">
                  <c:v>0.17669509405911388</c:v>
                </c:pt>
                <c:pt idx="102">
                  <c:v>0.17843453180722979</c:v>
                </c:pt>
                <c:pt idx="103">
                  <c:v>0.17849402910739531</c:v>
                </c:pt>
                <c:pt idx="104">
                  <c:v>0.17908677588252675</c:v>
                </c:pt>
                <c:pt idx="105">
                  <c:v>0.17973133271570352</c:v>
                </c:pt>
                <c:pt idx="106">
                  <c:v>0.17923556796842122</c:v>
                </c:pt>
                <c:pt idx="107">
                  <c:v>0.17931114261595016</c:v>
                </c:pt>
                <c:pt idx="108">
                  <c:v>0.17679006054351909</c:v>
                </c:pt>
                <c:pt idx="109">
                  <c:v>0.18067376074551245</c:v>
                </c:pt>
                <c:pt idx="110">
                  <c:v>0.18087590266329334</c:v>
                </c:pt>
                <c:pt idx="111">
                  <c:v>0.1810749365390778</c:v>
                </c:pt>
                <c:pt idx="112">
                  <c:v>0.18116102655516086</c:v>
                </c:pt>
                <c:pt idx="113">
                  <c:v>0.18072066885893379</c:v>
                </c:pt>
                <c:pt idx="114">
                  <c:v>0.18292137602804304</c:v>
                </c:pt>
                <c:pt idx="115">
                  <c:v>0.17679006054351909</c:v>
                </c:pt>
                <c:pt idx="116">
                  <c:v>0.18067376074551245</c:v>
                </c:pt>
                <c:pt idx="117">
                  <c:v>0.18274087540425454</c:v>
                </c:pt>
                <c:pt idx="118">
                  <c:v>0.18231375978382802</c:v>
                </c:pt>
                <c:pt idx="119">
                  <c:v>0.18249257495969351</c:v>
                </c:pt>
                <c:pt idx="120">
                  <c:v>0.18067376074551245</c:v>
                </c:pt>
                <c:pt idx="121">
                  <c:v>0.18362698915323095</c:v>
                </c:pt>
                <c:pt idx="122">
                  <c:v>0.18368645030037856</c:v>
                </c:pt>
                <c:pt idx="123">
                  <c:v>0.18246594688315598</c:v>
                </c:pt>
                <c:pt idx="124">
                  <c:v>0.18419905631000999</c:v>
                </c:pt>
                <c:pt idx="125">
                  <c:v>0.18453752809543134</c:v>
                </c:pt>
                <c:pt idx="126">
                  <c:v>0.18446117428544362</c:v>
                </c:pt>
                <c:pt idx="127">
                  <c:v>0.18564476483047843</c:v>
                </c:pt>
                <c:pt idx="128">
                  <c:v>0.1834784123114237</c:v>
                </c:pt>
                <c:pt idx="129">
                  <c:v>0.18542904770092061</c:v>
                </c:pt>
                <c:pt idx="130">
                  <c:v>0.18565063744705679</c:v>
                </c:pt>
                <c:pt idx="131">
                  <c:v>0.18595246401621068</c:v>
                </c:pt>
                <c:pt idx="132">
                  <c:v>0.18648581539742359</c:v>
                </c:pt>
                <c:pt idx="133">
                  <c:v>0.18605485327394033</c:v>
                </c:pt>
                <c:pt idx="134">
                  <c:v>0.18737426713126859</c:v>
                </c:pt>
                <c:pt idx="135">
                  <c:v>0.17679006054351909</c:v>
                </c:pt>
                <c:pt idx="136">
                  <c:v>0.17679006054351909</c:v>
                </c:pt>
                <c:pt idx="137">
                  <c:v>0.17679006054351909</c:v>
                </c:pt>
                <c:pt idx="138">
                  <c:v>0.17679006054351909</c:v>
                </c:pt>
                <c:pt idx="139">
                  <c:v>0.18615154243478993</c:v>
                </c:pt>
                <c:pt idx="140">
                  <c:v>0.17679006054351909</c:v>
                </c:pt>
                <c:pt idx="141">
                  <c:v>0.17679006054351909</c:v>
                </c:pt>
                <c:pt idx="142">
                  <c:v>0.18502560850103644</c:v>
                </c:pt>
                <c:pt idx="143">
                  <c:v>0.18502560850103644</c:v>
                </c:pt>
                <c:pt idx="144">
                  <c:v>0.18502560850103644</c:v>
                </c:pt>
                <c:pt idx="145">
                  <c:v>0.18067376074551245</c:v>
                </c:pt>
                <c:pt idx="146">
                  <c:v>0.19079826213462403</c:v>
                </c:pt>
                <c:pt idx="147">
                  <c:v>0.19151576304499485</c:v>
                </c:pt>
                <c:pt idx="148">
                  <c:v>0.19140055908181908</c:v>
                </c:pt>
                <c:pt idx="149">
                  <c:v>0.19008048900726116</c:v>
                </c:pt>
                <c:pt idx="150">
                  <c:v>0.19116326313913623</c:v>
                </c:pt>
                <c:pt idx="151">
                  <c:v>0.1922482471381719</c:v>
                </c:pt>
                <c:pt idx="152">
                  <c:v>0.19288286817298461</c:v>
                </c:pt>
                <c:pt idx="153">
                  <c:v>0.1933948942417576</c:v>
                </c:pt>
                <c:pt idx="154">
                  <c:v>0.19378139093111346</c:v>
                </c:pt>
                <c:pt idx="155">
                  <c:v>0.19429157891787074</c:v>
                </c:pt>
                <c:pt idx="156">
                  <c:v>0.19395878892046303</c:v>
                </c:pt>
                <c:pt idx="157">
                  <c:v>0.19265419775632942</c:v>
                </c:pt>
                <c:pt idx="158">
                  <c:v>0.19193250882570156</c:v>
                </c:pt>
                <c:pt idx="159">
                  <c:v>0.19723137557851711</c:v>
                </c:pt>
                <c:pt idx="160">
                  <c:v>0.21360138043553234</c:v>
                </c:pt>
                <c:pt idx="161">
                  <c:v>0.19600355582665285</c:v>
                </c:pt>
                <c:pt idx="162">
                  <c:v>0.19614015063750845</c:v>
                </c:pt>
                <c:pt idx="163">
                  <c:v>0.19600656668458671</c:v>
                </c:pt>
                <c:pt idx="164">
                  <c:v>0.19259191786354046</c:v>
                </c:pt>
                <c:pt idx="165">
                  <c:v>0.20583018640357742</c:v>
                </c:pt>
                <c:pt idx="166">
                  <c:v>0.20583018640357742</c:v>
                </c:pt>
                <c:pt idx="167">
                  <c:v>0.19790384239451231</c:v>
                </c:pt>
                <c:pt idx="168">
                  <c:v>0.21360138043553234</c:v>
                </c:pt>
                <c:pt idx="169">
                  <c:v>0.19840293509015483</c:v>
                </c:pt>
                <c:pt idx="170">
                  <c:v>0.19933283752229514</c:v>
                </c:pt>
                <c:pt idx="171">
                  <c:v>0.20583018640357742</c:v>
                </c:pt>
                <c:pt idx="172">
                  <c:v>0.21360138043553234</c:v>
                </c:pt>
                <c:pt idx="173">
                  <c:v>0.19957197802547144</c:v>
                </c:pt>
                <c:pt idx="174">
                  <c:v>0.19987294509858433</c:v>
                </c:pt>
                <c:pt idx="175">
                  <c:v>0.1938350834415703</c:v>
                </c:pt>
                <c:pt idx="176">
                  <c:v>0.21360138043553234</c:v>
                </c:pt>
                <c:pt idx="177">
                  <c:v>0.20114812012158101</c:v>
                </c:pt>
                <c:pt idx="178">
                  <c:v>0.20081436087090787</c:v>
                </c:pt>
                <c:pt idx="179">
                  <c:v>0.2056138453335381</c:v>
                </c:pt>
                <c:pt idx="180">
                  <c:v>0.20186655647298712</c:v>
                </c:pt>
                <c:pt idx="181">
                  <c:v>0.20294315751702596</c:v>
                </c:pt>
                <c:pt idx="182">
                  <c:v>0.20209641875703377</c:v>
                </c:pt>
                <c:pt idx="183">
                  <c:v>0.20992487611833521</c:v>
                </c:pt>
                <c:pt idx="184">
                  <c:v>0.20276062943619699</c:v>
                </c:pt>
                <c:pt idx="185">
                  <c:v>0.20329953037117177</c:v>
                </c:pt>
                <c:pt idx="186">
                  <c:v>0.20380213267948566</c:v>
                </c:pt>
                <c:pt idx="187">
                  <c:v>0.20957720505531596</c:v>
                </c:pt>
                <c:pt idx="188">
                  <c:v>0.20959272173085175</c:v>
                </c:pt>
                <c:pt idx="189">
                  <c:v>0.20992487611833521</c:v>
                </c:pt>
                <c:pt idx="190">
                  <c:v>0.21750116022024391</c:v>
                </c:pt>
                <c:pt idx="191">
                  <c:v>0.21360138043553234</c:v>
                </c:pt>
                <c:pt idx="192">
                  <c:v>0.20532230625568904</c:v>
                </c:pt>
                <c:pt idx="193">
                  <c:v>0.20551883796377979</c:v>
                </c:pt>
                <c:pt idx="194">
                  <c:v>0.20603120074840087</c:v>
                </c:pt>
                <c:pt idx="195">
                  <c:v>0.20633968356761212</c:v>
                </c:pt>
                <c:pt idx="196">
                  <c:v>0.20635389924639469</c:v>
                </c:pt>
                <c:pt idx="197">
                  <c:v>0.2074057935114062</c:v>
                </c:pt>
                <c:pt idx="198">
                  <c:v>0.20791143408574109</c:v>
                </c:pt>
                <c:pt idx="199">
                  <c:v>0.2096104691352938</c:v>
                </c:pt>
                <c:pt idx="200">
                  <c:v>0.20825030244078668</c:v>
                </c:pt>
                <c:pt idx="201">
                  <c:v>0.21360138043553234</c:v>
                </c:pt>
                <c:pt idx="202">
                  <c:v>0.20907820249186448</c:v>
                </c:pt>
                <c:pt idx="203">
                  <c:v>0.21360138043553234</c:v>
                </c:pt>
                <c:pt idx="204">
                  <c:v>0.20992487611833521</c:v>
                </c:pt>
                <c:pt idx="205">
                  <c:v>0.21018711807409618</c:v>
                </c:pt>
                <c:pt idx="206">
                  <c:v>0.21360138043553234</c:v>
                </c:pt>
                <c:pt idx="207">
                  <c:v>0.21750116022024391</c:v>
                </c:pt>
                <c:pt idx="208">
                  <c:v>0.20964260115291089</c:v>
                </c:pt>
                <c:pt idx="209">
                  <c:v>0.21213164476007917</c:v>
                </c:pt>
                <c:pt idx="210">
                  <c:v>0.212614313016249</c:v>
                </c:pt>
                <c:pt idx="211">
                  <c:v>0.21280779140782458</c:v>
                </c:pt>
                <c:pt idx="212">
                  <c:v>0.21283388653854285</c:v>
                </c:pt>
                <c:pt idx="213">
                  <c:v>0.21583497216258651</c:v>
                </c:pt>
                <c:pt idx="214">
                  <c:v>0.21457719056003732</c:v>
                </c:pt>
                <c:pt idx="215">
                  <c:v>0.21750116022024391</c:v>
                </c:pt>
                <c:pt idx="216">
                  <c:v>0.21444210418445864</c:v>
                </c:pt>
                <c:pt idx="217">
                  <c:v>0.21486758099681635</c:v>
                </c:pt>
                <c:pt idx="218">
                  <c:v>0.21492001676317529</c:v>
                </c:pt>
                <c:pt idx="219">
                  <c:v>0.2162278179719086</c:v>
                </c:pt>
                <c:pt idx="220">
                  <c:v>0.21517945901692692</c:v>
                </c:pt>
                <c:pt idx="221">
                  <c:v>0.21530164879777547</c:v>
                </c:pt>
                <c:pt idx="222">
                  <c:v>0.20992487611833521</c:v>
                </c:pt>
                <c:pt idx="223">
                  <c:v>0.20992487611833521</c:v>
                </c:pt>
                <c:pt idx="224">
                  <c:v>0.20992487611833521</c:v>
                </c:pt>
                <c:pt idx="225">
                  <c:v>0.20992487611833521</c:v>
                </c:pt>
              </c:numCache>
            </c:numRef>
          </c:xVal>
          <c:yVal>
            <c:numRef>
              <c:f>'Efficient frontier'!$H$2:$H$355</c:f>
              <c:numCache>
                <c:formatCode>General</c:formatCode>
                <c:ptCount val="354"/>
                <c:pt idx="0">
                  <c:v>1.5609986836232066</c:v>
                </c:pt>
                <c:pt idx="1">
                  <c:v>1.4406892518338013</c:v>
                </c:pt>
                <c:pt idx="2">
                  <c:v>1.565825943212986</c:v>
                </c:pt>
                <c:pt idx="3">
                  <c:v>1.5692975281697787</c:v>
                </c:pt>
                <c:pt idx="4">
                  <c:v>1.5314135153398118</c:v>
                </c:pt>
                <c:pt idx="5">
                  <c:v>1.3392415092605316</c:v>
                </c:pt>
                <c:pt idx="6">
                  <c:v>1.5833808899774455</c:v>
                </c:pt>
                <c:pt idx="7">
                  <c:v>1.5769224735883702</c:v>
                </c:pt>
                <c:pt idx="8">
                  <c:v>1.5331765627280936</c:v>
                </c:pt>
                <c:pt idx="9">
                  <c:v>1.6396205657360492</c:v>
                </c:pt>
                <c:pt idx="10">
                  <c:v>1.6171579923323081</c:v>
                </c:pt>
                <c:pt idx="11">
                  <c:v>1.6337735844550365</c:v>
                </c:pt>
                <c:pt idx="12">
                  <c:v>1.6174661525345833</c:v>
                </c:pt>
                <c:pt idx="13">
                  <c:v>1.3638412677711336</c:v>
                </c:pt>
                <c:pt idx="14">
                  <c:v>1.6431876133196239</c:v>
                </c:pt>
                <c:pt idx="15">
                  <c:v>1.6518864936005613</c:v>
                </c:pt>
                <c:pt idx="16">
                  <c:v>1.6715154879606067</c:v>
                </c:pt>
                <c:pt idx="17">
                  <c:v>1.3758758939693552</c:v>
                </c:pt>
                <c:pt idx="18">
                  <c:v>1.504163147924199</c:v>
                </c:pt>
                <c:pt idx="19">
                  <c:v>1.696794319318023</c:v>
                </c:pt>
                <c:pt idx="20">
                  <c:v>1.6881202942781171</c:v>
                </c:pt>
                <c:pt idx="21">
                  <c:v>1.7023742737249588</c:v>
                </c:pt>
                <c:pt idx="22">
                  <c:v>1.7118130697877867</c:v>
                </c:pt>
                <c:pt idx="23">
                  <c:v>1.7193965465637133</c:v>
                </c:pt>
                <c:pt idx="24">
                  <c:v>1.7261120403540353</c:v>
                </c:pt>
                <c:pt idx="25">
                  <c:v>1.7367418088540856</c:v>
                </c:pt>
                <c:pt idx="26">
                  <c:v>1.7445477183661666</c:v>
                </c:pt>
                <c:pt idx="27">
                  <c:v>1.4184177141367278</c:v>
                </c:pt>
                <c:pt idx="28">
                  <c:v>1.7595501566032474</c:v>
                </c:pt>
                <c:pt idx="29">
                  <c:v>1.7689634398840077</c:v>
                </c:pt>
                <c:pt idx="30">
                  <c:v>1.7757065083453571</c:v>
                </c:pt>
                <c:pt idx="31">
                  <c:v>1.8023979403461889</c:v>
                </c:pt>
                <c:pt idx="32">
                  <c:v>1.7989528972379558</c:v>
                </c:pt>
                <c:pt idx="33">
                  <c:v>1.7360588655266906</c:v>
                </c:pt>
                <c:pt idx="34">
                  <c:v>1.5729403955089787</c:v>
                </c:pt>
                <c:pt idx="35">
                  <c:v>1.4441388579942234</c:v>
                </c:pt>
                <c:pt idx="36">
                  <c:v>1.6396205657360492</c:v>
                </c:pt>
                <c:pt idx="37">
                  <c:v>1.8223787346466782</c:v>
                </c:pt>
                <c:pt idx="38">
                  <c:v>1.8305140292012554</c:v>
                </c:pt>
                <c:pt idx="39">
                  <c:v>1.8357733502049669</c:v>
                </c:pt>
                <c:pt idx="40">
                  <c:v>1.8403754989059418</c:v>
                </c:pt>
                <c:pt idx="41">
                  <c:v>1.8681665115835504</c:v>
                </c:pt>
                <c:pt idx="42">
                  <c:v>1.8510719205491892</c:v>
                </c:pt>
                <c:pt idx="43">
                  <c:v>1.8626108166135047</c:v>
                </c:pt>
                <c:pt idx="44">
                  <c:v>1.723693830402778</c:v>
                </c:pt>
                <c:pt idx="45">
                  <c:v>1.8630394337018978</c:v>
                </c:pt>
                <c:pt idx="46">
                  <c:v>1.9070708984716442</c:v>
                </c:pt>
                <c:pt idx="47">
                  <c:v>1.8702516507381166</c:v>
                </c:pt>
                <c:pt idx="48">
                  <c:v>1.8704610272993683</c:v>
                </c:pt>
                <c:pt idx="49">
                  <c:v>1.8902844651190298</c:v>
                </c:pt>
                <c:pt idx="50">
                  <c:v>1.8490697194028394</c:v>
                </c:pt>
                <c:pt idx="51">
                  <c:v>1.5416070115386971</c:v>
                </c:pt>
                <c:pt idx="52">
                  <c:v>1.8919358667894335</c:v>
                </c:pt>
                <c:pt idx="53">
                  <c:v>1.9081608662104719</c:v>
                </c:pt>
                <c:pt idx="54">
                  <c:v>1.5450974978106686</c:v>
                </c:pt>
                <c:pt idx="55">
                  <c:v>1.90892172589632</c:v>
                </c:pt>
                <c:pt idx="56">
                  <c:v>1.9480233848883111</c:v>
                </c:pt>
                <c:pt idx="57">
                  <c:v>1.7715125411633192</c:v>
                </c:pt>
                <c:pt idx="58">
                  <c:v>1.9205277357315689</c:v>
                </c:pt>
                <c:pt idx="59">
                  <c:v>2.017628628228294</c:v>
                </c:pt>
                <c:pt idx="60">
                  <c:v>1.9296226903927876</c:v>
                </c:pt>
                <c:pt idx="61">
                  <c:v>1.9361737096362204</c:v>
                </c:pt>
                <c:pt idx="62">
                  <c:v>2.022377929988632</c:v>
                </c:pt>
                <c:pt idx="63">
                  <c:v>1.9412967578421501</c:v>
                </c:pt>
                <c:pt idx="64">
                  <c:v>1.9506902815423954</c:v>
                </c:pt>
                <c:pt idx="65">
                  <c:v>1.9772849805171899</c:v>
                </c:pt>
                <c:pt idx="66">
                  <c:v>1.9683570279823086</c:v>
                </c:pt>
                <c:pt idx="67">
                  <c:v>2.0316617791500393</c:v>
                </c:pt>
                <c:pt idx="68">
                  <c:v>1.9686785023808737</c:v>
                </c:pt>
                <c:pt idx="69">
                  <c:v>1.9781229838202128</c:v>
                </c:pt>
                <c:pt idx="70">
                  <c:v>2.0428091251686578</c:v>
                </c:pt>
                <c:pt idx="71">
                  <c:v>2.0445557689204628</c:v>
                </c:pt>
                <c:pt idx="72">
                  <c:v>1.6396205657360492</c:v>
                </c:pt>
                <c:pt idx="73">
                  <c:v>1.7747308311793988</c:v>
                </c:pt>
                <c:pt idx="74">
                  <c:v>1.7749853710424146</c:v>
                </c:pt>
                <c:pt idx="75">
                  <c:v>1.6396205657360492</c:v>
                </c:pt>
                <c:pt idx="76">
                  <c:v>2.0032630332197447</c:v>
                </c:pt>
                <c:pt idx="77">
                  <c:v>2.007116675261456</c:v>
                </c:pt>
                <c:pt idx="78">
                  <c:v>2.0138601781132293</c:v>
                </c:pt>
                <c:pt idx="79">
                  <c:v>2.0215341647476723</c:v>
                </c:pt>
                <c:pt idx="80">
                  <c:v>2.0255899691395016</c:v>
                </c:pt>
                <c:pt idx="81">
                  <c:v>2.0271289132187897</c:v>
                </c:pt>
                <c:pt idx="82">
                  <c:v>2.0293804240545557</c:v>
                </c:pt>
                <c:pt idx="83">
                  <c:v>2.0338385817240954</c:v>
                </c:pt>
                <c:pt idx="84">
                  <c:v>2.0347966523627425</c:v>
                </c:pt>
                <c:pt idx="85">
                  <c:v>2.0373776593662152</c:v>
                </c:pt>
                <c:pt idx="86">
                  <c:v>2.0399808517590445</c:v>
                </c:pt>
                <c:pt idx="87">
                  <c:v>2.0451812259423181</c:v>
                </c:pt>
                <c:pt idx="88">
                  <c:v>2.0483178901746197</c:v>
                </c:pt>
                <c:pt idx="89">
                  <c:v>2.0458635033059216</c:v>
                </c:pt>
                <c:pt idx="90">
                  <c:v>2.0510734546908265</c:v>
                </c:pt>
                <c:pt idx="91">
                  <c:v>2.0539418274288481</c:v>
                </c:pt>
                <c:pt idx="92">
                  <c:v>2.0584492493656263</c:v>
                </c:pt>
                <c:pt idx="93">
                  <c:v>2.0594099666766268</c:v>
                </c:pt>
                <c:pt idx="94">
                  <c:v>2.0569803611486224</c:v>
                </c:pt>
                <c:pt idx="95">
                  <c:v>2.0651331183043373</c:v>
                </c:pt>
                <c:pt idx="96">
                  <c:v>2.0634461334913534</c:v>
                </c:pt>
                <c:pt idx="97">
                  <c:v>2.068378662082718</c:v>
                </c:pt>
                <c:pt idx="98">
                  <c:v>2.0712524706452453</c:v>
                </c:pt>
                <c:pt idx="99">
                  <c:v>2.0692869079082361</c:v>
                </c:pt>
                <c:pt idx="100">
                  <c:v>2.0758634307565029</c:v>
                </c:pt>
                <c:pt idx="101">
                  <c:v>1.7773611171089627</c:v>
                </c:pt>
                <c:pt idx="102">
                  <c:v>2.0719025785818754</c:v>
                </c:pt>
                <c:pt idx="103">
                  <c:v>2.0723942559064401</c:v>
                </c:pt>
                <c:pt idx="104">
                  <c:v>2.0817991563276395</c:v>
                </c:pt>
                <c:pt idx="105">
                  <c:v>2.0873293002185527</c:v>
                </c:pt>
                <c:pt idx="106">
                  <c:v>2.0829398162308617</c:v>
                </c:pt>
                <c:pt idx="107">
                  <c:v>2.0834969371189276</c:v>
                </c:pt>
                <c:pt idx="108">
                  <c:v>2.0506164791936645</c:v>
                </c:pt>
                <c:pt idx="109">
                  <c:v>1.6396205657360492</c:v>
                </c:pt>
                <c:pt idx="110">
                  <c:v>2.096739555554838</c:v>
                </c:pt>
                <c:pt idx="111">
                  <c:v>2.0980631056712338</c:v>
                </c:pt>
                <c:pt idx="112">
                  <c:v>2.0981934182995898</c:v>
                </c:pt>
                <c:pt idx="113">
                  <c:v>2.0948728929703355</c:v>
                </c:pt>
                <c:pt idx="114">
                  <c:v>2.107689277031962</c:v>
                </c:pt>
                <c:pt idx="115">
                  <c:v>2.0506164791936645</c:v>
                </c:pt>
                <c:pt idx="116">
                  <c:v>1.6396205657360492</c:v>
                </c:pt>
                <c:pt idx="117">
                  <c:v>2.108870447554192</c:v>
                </c:pt>
                <c:pt idx="118">
                  <c:v>2.1061560641545838</c:v>
                </c:pt>
                <c:pt idx="119">
                  <c:v>2.1015970129524377</c:v>
                </c:pt>
                <c:pt idx="120">
                  <c:v>1.6396205657360492</c:v>
                </c:pt>
                <c:pt idx="121">
                  <c:v>2.113896335885483</c:v>
                </c:pt>
                <c:pt idx="122">
                  <c:v>2.1136101778987428</c:v>
                </c:pt>
                <c:pt idx="123">
                  <c:v>2.0924747030598332</c:v>
                </c:pt>
                <c:pt idx="124">
                  <c:v>2.1170368655784562</c:v>
                </c:pt>
                <c:pt idx="125">
                  <c:v>2.1186141522281203</c:v>
                </c:pt>
                <c:pt idx="126">
                  <c:v>2.1162897127153464</c:v>
                </c:pt>
                <c:pt idx="127">
                  <c:v>2.1212492879535563</c:v>
                </c:pt>
                <c:pt idx="128">
                  <c:v>2.0975150359241588</c:v>
                </c:pt>
                <c:pt idx="129">
                  <c:v>2.1231376167574068</c:v>
                </c:pt>
                <c:pt idx="130">
                  <c:v>2.1241545174567515</c:v>
                </c:pt>
                <c:pt idx="131">
                  <c:v>2.1255261117801223</c:v>
                </c:pt>
                <c:pt idx="132">
                  <c:v>2.1276777059508292</c:v>
                </c:pt>
                <c:pt idx="133">
                  <c:v>2.125175839240641</c:v>
                </c:pt>
                <c:pt idx="134">
                  <c:v>2.1282449432588075</c:v>
                </c:pt>
                <c:pt idx="135">
                  <c:v>2.0506164791936645</c:v>
                </c:pt>
                <c:pt idx="136">
                  <c:v>2.0506164791936645</c:v>
                </c:pt>
                <c:pt idx="137">
                  <c:v>2.0506164791936645</c:v>
                </c:pt>
                <c:pt idx="138">
                  <c:v>2.0506164791936645</c:v>
                </c:pt>
                <c:pt idx="139">
                  <c:v>2.1084540694030012</c:v>
                </c:pt>
                <c:pt idx="140">
                  <c:v>2.0506164791936645</c:v>
                </c:pt>
                <c:pt idx="141">
                  <c:v>2.0506164791936645</c:v>
                </c:pt>
                <c:pt idx="142">
                  <c:v>1.8830872326164136</c:v>
                </c:pt>
                <c:pt idx="143">
                  <c:v>1.8830872326164136</c:v>
                </c:pt>
                <c:pt idx="144">
                  <c:v>1.8830872326164136</c:v>
                </c:pt>
                <c:pt idx="145">
                  <c:v>1.6396205657360492</c:v>
                </c:pt>
                <c:pt idx="146">
                  <c:v>2.1433177508229337</c:v>
                </c:pt>
                <c:pt idx="147">
                  <c:v>2.1453284103984052</c:v>
                </c:pt>
                <c:pt idx="148">
                  <c:v>2.1438923120915749</c:v>
                </c:pt>
                <c:pt idx="149">
                  <c:v>2.137801048140652</c:v>
                </c:pt>
                <c:pt idx="150">
                  <c:v>2.1441431862951159</c:v>
                </c:pt>
                <c:pt idx="151">
                  <c:v>2.1473068955913317</c:v>
                </c:pt>
                <c:pt idx="152">
                  <c:v>2.1489004077796263</c:v>
                </c:pt>
                <c:pt idx="153">
                  <c:v>2.1501314074425055</c:v>
                </c:pt>
                <c:pt idx="154">
                  <c:v>2.1510173086692905</c:v>
                </c:pt>
                <c:pt idx="155">
                  <c:v>2.1520213649046522</c:v>
                </c:pt>
                <c:pt idx="156">
                  <c:v>2.1510920684324542</c:v>
                </c:pt>
                <c:pt idx="157">
                  <c:v>2.1450111127306779</c:v>
                </c:pt>
                <c:pt idx="158">
                  <c:v>2.1400797113625405</c:v>
                </c:pt>
                <c:pt idx="159">
                  <c:v>2.134241304172654</c:v>
                </c:pt>
                <c:pt idx="160">
                  <c:v>1.7436055699016924</c:v>
                </c:pt>
                <c:pt idx="161">
                  <c:v>2.1554741302484244</c:v>
                </c:pt>
                <c:pt idx="162">
                  <c:v>2.1555684811491092</c:v>
                </c:pt>
                <c:pt idx="163">
                  <c:v>2.1548684462201257</c:v>
                </c:pt>
                <c:pt idx="164">
                  <c:v>2.1412892576341958</c:v>
                </c:pt>
                <c:pt idx="165">
                  <c:v>2.1320496735918129</c:v>
                </c:pt>
                <c:pt idx="166">
                  <c:v>2.1320496735918129</c:v>
                </c:pt>
                <c:pt idx="167">
                  <c:v>2.1354218574542783</c:v>
                </c:pt>
                <c:pt idx="168">
                  <c:v>1.7436055699016924</c:v>
                </c:pt>
                <c:pt idx="169">
                  <c:v>2.1592384929255304</c:v>
                </c:pt>
                <c:pt idx="170">
                  <c:v>2.160208766443771</c:v>
                </c:pt>
                <c:pt idx="171">
                  <c:v>2.1320496735918129</c:v>
                </c:pt>
                <c:pt idx="172">
                  <c:v>1.7436055699016924</c:v>
                </c:pt>
                <c:pt idx="173">
                  <c:v>2.1608460023487206</c:v>
                </c:pt>
                <c:pt idx="174">
                  <c:v>2.1601482032317225</c:v>
                </c:pt>
                <c:pt idx="175">
                  <c:v>2.1428866349334443</c:v>
                </c:pt>
                <c:pt idx="176">
                  <c:v>1.7436055699016924</c:v>
                </c:pt>
                <c:pt idx="177">
                  <c:v>2.1625160948160058</c:v>
                </c:pt>
                <c:pt idx="178">
                  <c:v>2.1619438828477562</c:v>
                </c:pt>
                <c:pt idx="179">
                  <c:v>2.1318099492274394</c:v>
                </c:pt>
                <c:pt idx="180">
                  <c:v>2.1632461538081409</c:v>
                </c:pt>
                <c:pt idx="181">
                  <c:v>2.1639304461468925</c:v>
                </c:pt>
                <c:pt idx="182">
                  <c:v>2.1557181261271383</c:v>
                </c:pt>
                <c:pt idx="183">
                  <c:v>2.1084855404253888</c:v>
                </c:pt>
                <c:pt idx="184">
                  <c:v>2.1639958520539611</c:v>
                </c:pt>
                <c:pt idx="185">
                  <c:v>2.164366616039104</c:v>
                </c:pt>
                <c:pt idx="186">
                  <c:v>2.1646175797786409</c:v>
                </c:pt>
                <c:pt idx="187">
                  <c:v>2.1655451836230508</c:v>
                </c:pt>
                <c:pt idx="188">
                  <c:v>2.1555636903684881</c:v>
                </c:pt>
                <c:pt idx="189">
                  <c:v>2.1084855404253888</c:v>
                </c:pt>
                <c:pt idx="190">
                  <c:v>1.9558386417138236</c:v>
                </c:pt>
                <c:pt idx="191">
                  <c:v>1.7436055699016924</c:v>
                </c:pt>
                <c:pt idx="192">
                  <c:v>2.1654040043109677</c:v>
                </c:pt>
                <c:pt idx="193">
                  <c:v>2.1654725993748749</c:v>
                </c:pt>
                <c:pt idx="194">
                  <c:v>2.165630046920012</c:v>
                </c:pt>
                <c:pt idx="195">
                  <c:v>2.1656105486571038</c:v>
                </c:pt>
                <c:pt idx="196">
                  <c:v>2.1655900627152604</c:v>
                </c:pt>
                <c:pt idx="197">
                  <c:v>2.1656751642476184</c:v>
                </c:pt>
                <c:pt idx="198">
                  <c:v>2.1654811802884506</c:v>
                </c:pt>
                <c:pt idx="199">
                  <c:v>2.1655607124250507</c:v>
                </c:pt>
                <c:pt idx="200">
                  <c:v>2.1659682606184627</c:v>
                </c:pt>
                <c:pt idx="201">
                  <c:v>1.7436055699016924</c:v>
                </c:pt>
                <c:pt idx="202">
                  <c:v>2.166008746553469</c:v>
                </c:pt>
                <c:pt idx="203">
                  <c:v>1.7436055699016924</c:v>
                </c:pt>
                <c:pt idx="204">
                  <c:v>2.1084855404253888</c:v>
                </c:pt>
                <c:pt idx="205">
                  <c:v>2.1659083872443676</c:v>
                </c:pt>
                <c:pt idx="206">
                  <c:v>1.7436055699016924</c:v>
                </c:pt>
                <c:pt idx="207">
                  <c:v>1.9558386417138236</c:v>
                </c:pt>
                <c:pt idx="208">
                  <c:v>2.1655570296937134</c:v>
                </c:pt>
                <c:pt idx="209">
                  <c:v>2.1654577150818413</c:v>
                </c:pt>
                <c:pt idx="210">
                  <c:v>2.1652912758824132</c:v>
                </c:pt>
                <c:pt idx="211">
                  <c:v>2.1652073743049125</c:v>
                </c:pt>
                <c:pt idx="212">
                  <c:v>2.1650971218438873</c:v>
                </c:pt>
                <c:pt idx="213">
                  <c:v>2.1624542474692117</c:v>
                </c:pt>
                <c:pt idx="214">
                  <c:v>2.1592290386846691</c:v>
                </c:pt>
                <c:pt idx="215">
                  <c:v>1.9558386417138236</c:v>
                </c:pt>
                <c:pt idx="216">
                  <c:v>2.1645161094053007</c:v>
                </c:pt>
                <c:pt idx="217">
                  <c:v>2.1642831897436641</c:v>
                </c:pt>
                <c:pt idx="218">
                  <c:v>2.1642185637793956</c:v>
                </c:pt>
                <c:pt idx="219">
                  <c:v>2.1633882021081887</c:v>
                </c:pt>
                <c:pt idx="220">
                  <c:v>2.1589095065113484</c:v>
                </c:pt>
                <c:pt idx="221">
                  <c:v>2.1588302980307619</c:v>
                </c:pt>
                <c:pt idx="222">
                  <c:v>2.1084855404253888</c:v>
                </c:pt>
                <c:pt idx="223">
                  <c:v>2.1084855404253888</c:v>
                </c:pt>
                <c:pt idx="224">
                  <c:v>2.1084855404253888</c:v>
                </c:pt>
                <c:pt idx="225">
                  <c:v>2.1084855404253888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D3EF-4839-BABB-40E87A827B5F}"/>
            </c:ext>
          </c:extLst>
        </c:ser>
        <c:ser>
          <c:idx val="0"/>
          <c:order val="1"/>
          <c:tx>
            <c:strRef>
              <c:f>'Efficient frontier'!$C$1</c:f>
              <c:strCache>
                <c:ptCount val="1"/>
                <c:pt idx="0">
                  <c:v>Sharpe ratio</c:v>
                </c:pt>
              </c:strCache>
            </c:strRef>
          </c:tx>
          <c:spPr>
            <a:ln w="63500">
              <a:solidFill>
                <a:srgbClr val="F79646"/>
              </a:solidFill>
            </a:ln>
          </c:spPr>
          <c:marker>
            <c:symbol val="none"/>
          </c:marker>
          <c:xVal>
            <c:numRef>
              <c:f>'Efficient frontier'!$A$2:$A$200</c:f>
              <c:numCache>
                <c:formatCode>0.00%</c:formatCode>
                <c:ptCount val="199"/>
                <c:pt idx="0">
                  <c:v>0.16251276411130999</c:v>
                </c:pt>
                <c:pt idx="1">
                  <c:v>0.16252786781392925</c:v>
                </c:pt>
                <c:pt idx="2">
                  <c:v>0.16253734379387774</c:v>
                </c:pt>
                <c:pt idx="3">
                  <c:v>0.16254925986217406</c:v>
                </c:pt>
                <c:pt idx="4">
                  <c:v>0.16256303429897323</c:v>
                </c:pt>
                <c:pt idx="5">
                  <c:v>0.16259622672474405</c:v>
                </c:pt>
                <c:pt idx="6">
                  <c:v>0.16265488958323937</c:v>
                </c:pt>
                <c:pt idx="7">
                  <c:v>0.16269166046024353</c:v>
                </c:pt>
                <c:pt idx="8">
                  <c:v>0.16274635839478768</c:v>
                </c:pt>
                <c:pt idx="9">
                  <c:v>0.16280166587863376</c:v>
                </c:pt>
                <c:pt idx="10">
                  <c:v>0.16285505210241191</c:v>
                </c:pt>
                <c:pt idx="11">
                  <c:v>0.16291530311572622</c:v>
                </c:pt>
                <c:pt idx="12">
                  <c:v>0.16298098928223315</c:v>
                </c:pt>
                <c:pt idx="13">
                  <c:v>0.16306088538535346</c:v>
                </c:pt>
                <c:pt idx="14">
                  <c:v>0.16314967518754897</c:v>
                </c:pt>
                <c:pt idx="15">
                  <c:v>0.16322914322982607</c:v>
                </c:pt>
                <c:pt idx="16">
                  <c:v>0.16331348076443453</c:v>
                </c:pt>
                <c:pt idx="17">
                  <c:v>0.16339051089750378</c:v>
                </c:pt>
                <c:pt idx="18">
                  <c:v>0.16349011446107498</c:v>
                </c:pt>
                <c:pt idx="19">
                  <c:v>0.16358583374506952</c:v>
                </c:pt>
                <c:pt idx="20">
                  <c:v>0.16370733850126573</c:v>
                </c:pt>
                <c:pt idx="21">
                  <c:v>0.16379363267184655</c:v>
                </c:pt>
                <c:pt idx="22">
                  <c:v>0.16394250938336086</c:v>
                </c:pt>
                <c:pt idx="23">
                  <c:v>0.16404207782056734</c:v>
                </c:pt>
                <c:pt idx="24">
                  <c:v>0.16418491086634268</c:v>
                </c:pt>
                <c:pt idx="25">
                  <c:v>0.16437982788854688</c:v>
                </c:pt>
                <c:pt idx="26">
                  <c:v>0.16448399393951574</c:v>
                </c:pt>
                <c:pt idx="27">
                  <c:v>0.16463653229289021</c:v>
                </c:pt>
                <c:pt idx="28">
                  <c:v>0.16480004267441095</c:v>
                </c:pt>
                <c:pt idx="29">
                  <c:v>0.16495729073741461</c:v>
                </c:pt>
                <c:pt idx="30">
                  <c:v>0.16511970790726416</c:v>
                </c:pt>
                <c:pt idx="31">
                  <c:v>0.16528728224948441</c:v>
                </c:pt>
                <c:pt idx="32">
                  <c:v>0.16546517702188734</c:v>
                </c:pt>
                <c:pt idx="33">
                  <c:v>0.16564132757012029</c:v>
                </c:pt>
                <c:pt idx="34">
                  <c:v>0.16582249192493359</c:v>
                </c:pt>
                <c:pt idx="35">
                  <c:v>0.16600793189134233</c:v>
                </c:pt>
                <c:pt idx="36">
                  <c:v>0.16619631047941441</c:v>
                </c:pt>
                <c:pt idx="37">
                  <c:v>0.16634761330664327</c:v>
                </c:pt>
                <c:pt idx="38">
                  <c:v>0.1665828731794774</c:v>
                </c:pt>
                <c:pt idx="39">
                  <c:v>0.1667731524127376</c:v>
                </c:pt>
                <c:pt idx="40">
                  <c:v>0.16702110464268238</c:v>
                </c:pt>
                <c:pt idx="41">
                  <c:v>0.16718982979074348</c:v>
                </c:pt>
                <c:pt idx="42">
                  <c:v>0.16741262017592073</c:v>
                </c:pt>
                <c:pt idx="43">
                  <c:v>0.16760160137114433</c:v>
                </c:pt>
                <c:pt idx="44">
                  <c:v>0.16785686631564989</c:v>
                </c:pt>
                <c:pt idx="45">
                  <c:v>0.16817719225117878</c:v>
                </c:pt>
                <c:pt idx="46">
                  <c:v>0.16840120793909708</c:v>
                </c:pt>
                <c:pt idx="47">
                  <c:v>0.16865015358484214</c:v>
                </c:pt>
                <c:pt idx="48">
                  <c:v>0.16893243568685401</c:v>
                </c:pt>
                <c:pt idx="49">
                  <c:v>0.16914715684738768</c:v>
                </c:pt>
                <c:pt idx="50">
                  <c:v>0.16938925078266731</c:v>
                </c:pt>
                <c:pt idx="51">
                  <c:v>0.16967280907609994</c:v>
                </c:pt>
                <c:pt idx="52">
                  <c:v>0.16995912135547786</c:v>
                </c:pt>
                <c:pt idx="53">
                  <c:v>0.17019863251805201</c:v>
                </c:pt>
                <c:pt idx="54">
                  <c:v>0.17051090676966241</c:v>
                </c:pt>
                <c:pt idx="55">
                  <c:v>0.17081078669214511</c:v>
                </c:pt>
                <c:pt idx="56">
                  <c:v>0.17114128560191677</c:v>
                </c:pt>
                <c:pt idx="57">
                  <c:v>0.17138220055417319</c:v>
                </c:pt>
                <c:pt idx="58">
                  <c:v>0.17167128203276683</c:v>
                </c:pt>
                <c:pt idx="59">
                  <c:v>0.17189654250215702</c:v>
                </c:pt>
                <c:pt idx="60">
                  <c:v>0.17228854543192984</c:v>
                </c:pt>
                <c:pt idx="61">
                  <c:v>0.1725422477601517</c:v>
                </c:pt>
                <c:pt idx="62">
                  <c:v>0.17288341817209352</c:v>
                </c:pt>
                <c:pt idx="63">
                  <c:v>0.17324965787225333</c:v>
                </c:pt>
                <c:pt idx="64">
                  <c:v>0.17361811891814294</c:v>
                </c:pt>
                <c:pt idx="65">
                  <c:v>0.17387509826905512</c:v>
                </c:pt>
                <c:pt idx="66">
                  <c:v>0.17411120158100668</c:v>
                </c:pt>
                <c:pt idx="67">
                  <c:v>0.174223175821832</c:v>
                </c:pt>
                <c:pt idx="68">
                  <c:v>0.17445496948366324</c:v>
                </c:pt>
                <c:pt idx="69">
                  <c:v>0.17466025095025706</c:v>
                </c:pt>
                <c:pt idx="70">
                  <c:v>0.17482993625984222</c:v>
                </c:pt>
                <c:pt idx="71">
                  <c:v>0.17510672132806659</c:v>
                </c:pt>
                <c:pt idx="72">
                  <c:v>0.17534887411563749</c:v>
                </c:pt>
                <c:pt idx="73">
                  <c:v>0.17555326210479549</c:v>
                </c:pt>
                <c:pt idx="74">
                  <c:v>0.17571896827198885</c:v>
                </c:pt>
                <c:pt idx="75">
                  <c:v>0.17592592064036627</c:v>
                </c:pt>
                <c:pt idx="76">
                  <c:v>0.17611966089792053</c:v>
                </c:pt>
                <c:pt idx="77">
                  <c:v>0.1764487163654227</c:v>
                </c:pt>
                <c:pt idx="78">
                  <c:v>0.17671693091844576</c:v>
                </c:pt>
                <c:pt idx="79">
                  <c:v>0.17689089524589097</c:v>
                </c:pt>
                <c:pt idx="80">
                  <c:v>0.17723844680859502</c:v>
                </c:pt>
                <c:pt idx="81">
                  <c:v>0.17733907989123021</c:v>
                </c:pt>
                <c:pt idx="82">
                  <c:v>0.17761330527371566</c:v>
                </c:pt>
                <c:pt idx="83">
                  <c:v>0.1778614570672723</c:v>
                </c:pt>
                <c:pt idx="84">
                  <c:v>0.17798623593427076</c:v>
                </c:pt>
                <c:pt idx="85">
                  <c:v>0.17834233831912361</c:v>
                </c:pt>
                <c:pt idx="86">
                  <c:v>0.178604951396786</c:v>
                </c:pt>
                <c:pt idx="87">
                  <c:v>0.17886552520646148</c:v>
                </c:pt>
                <c:pt idx="88">
                  <c:v>0.17912465270924804</c:v>
                </c:pt>
                <c:pt idx="89">
                  <c:v>0.17951066724991427</c:v>
                </c:pt>
                <c:pt idx="90">
                  <c:v>0.17971820311334241</c:v>
                </c:pt>
                <c:pt idx="91">
                  <c:v>0.17998348108398687</c:v>
                </c:pt>
                <c:pt idx="92">
                  <c:v>0.18012075139817463</c:v>
                </c:pt>
                <c:pt idx="93">
                  <c:v>0.18045298358877315</c:v>
                </c:pt>
                <c:pt idx="94">
                  <c:v>0.18069176219047689</c:v>
                </c:pt>
                <c:pt idx="95">
                  <c:v>0.18093821566817714</c:v>
                </c:pt>
                <c:pt idx="96">
                  <c:v>0.18126240342624755</c:v>
                </c:pt>
                <c:pt idx="97">
                  <c:v>0.18159254153895232</c:v>
                </c:pt>
                <c:pt idx="98">
                  <c:v>0.18186460869797227</c:v>
                </c:pt>
                <c:pt idx="99">
                  <c:v>0.18213800027186755</c:v>
                </c:pt>
                <c:pt idx="100">
                  <c:v>0.18242899788461275</c:v>
                </c:pt>
                <c:pt idx="101">
                  <c:v>0.18271503063332695</c:v>
                </c:pt>
                <c:pt idx="102">
                  <c:v>0.18300812000604116</c:v>
                </c:pt>
                <c:pt idx="103">
                  <c:v>0.18330216156309476</c:v>
                </c:pt>
                <c:pt idx="104">
                  <c:v>0.183658567269809</c:v>
                </c:pt>
                <c:pt idx="105">
                  <c:v>0.1838976385824016</c:v>
                </c:pt>
                <c:pt idx="106">
                  <c:v>0.18419905631000999</c:v>
                </c:pt>
                <c:pt idx="107">
                  <c:v>0.18450291499908844</c:v>
                </c:pt>
                <c:pt idx="108">
                  <c:v>0.18488724665089173</c:v>
                </c:pt>
                <c:pt idx="109">
                  <c:v>0.18519441513262325</c:v>
                </c:pt>
                <c:pt idx="110">
                  <c:v>0.18553782571116884</c:v>
                </c:pt>
                <c:pt idx="111">
                  <c:v>0.18574593238956383</c:v>
                </c:pt>
                <c:pt idx="112">
                  <c:v>0.18606117397483901</c:v>
                </c:pt>
                <c:pt idx="113">
                  <c:v>0.18647368631640648</c:v>
                </c:pt>
                <c:pt idx="114">
                  <c:v>0.18689494730838763</c:v>
                </c:pt>
                <c:pt idx="115">
                  <c:v>0.18713083361947702</c:v>
                </c:pt>
                <c:pt idx="116">
                  <c:v>0.1874437619482987</c:v>
                </c:pt>
                <c:pt idx="117">
                  <c:v>0.18775694320512404</c:v>
                </c:pt>
                <c:pt idx="118">
                  <c:v>0.18810125222993701</c:v>
                </c:pt>
                <c:pt idx="119">
                  <c:v>0.18845934667221043</c:v>
                </c:pt>
                <c:pt idx="120">
                  <c:v>0.18881124932364846</c:v>
                </c:pt>
                <c:pt idx="121">
                  <c:v>0.18915490583116568</c:v>
                </c:pt>
                <c:pt idx="122">
                  <c:v>0.18960613869897824</c:v>
                </c:pt>
                <c:pt idx="123">
                  <c:v>0.18979104772896438</c:v>
                </c:pt>
                <c:pt idx="124">
                  <c:v>0.19018985954330159</c:v>
                </c:pt>
                <c:pt idx="125">
                  <c:v>0.19059836265751007</c:v>
                </c:pt>
                <c:pt idx="126">
                  <c:v>0.19086206281558438</c:v>
                </c:pt>
                <c:pt idx="127">
                  <c:v>0.19113499907287435</c:v>
                </c:pt>
                <c:pt idx="128">
                  <c:v>0.1916821204213166</c:v>
                </c:pt>
                <c:pt idx="129">
                  <c:v>0.19192206913930332</c:v>
                </c:pt>
                <c:pt idx="130">
                  <c:v>0.19228681029126515</c:v>
                </c:pt>
                <c:pt idx="131">
                  <c:v>0.19265386784661254</c:v>
                </c:pt>
                <c:pt idx="132">
                  <c:v>0.19302323232108809</c:v>
                </c:pt>
                <c:pt idx="133">
                  <c:v>0.1933948942417576</c:v>
                </c:pt>
                <c:pt idx="134">
                  <c:v>0.19378139093111346</c:v>
                </c:pt>
                <c:pt idx="135">
                  <c:v>0.1941545888717513</c:v>
                </c:pt>
                <c:pt idx="136">
                  <c:v>0.19459913840567222</c:v>
                </c:pt>
                <c:pt idx="137">
                  <c:v>0.19485301397202082</c:v>
                </c:pt>
                <c:pt idx="138">
                  <c:v>0.19504987348194969</c:v>
                </c:pt>
                <c:pt idx="139">
                  <c:v>0.19563468519789295</c:v>
                </c:pt>
                <c:pt idx="140">
                  <c:v>0.19596611648103024</c:v>
                </c:pt>
                <c:pt idx="141">
                  <c:v>0.19647454749719917</c:v>
                </c:pt>
                <c:pt idx="142">
                  <c:v>0.19683559176441423</c:v>
                </c:pt>
                <c:pt idx="143">
                  <c:v>0.19733741354944856</c:v>
                </c:pt>
                <c:pt idx="144">
                  <c:v>0.1976364052897388</c:v>
                </c:pt>
                <c:pt idx="145">
                  <c:v>0.19798507441767854</c:v>
                </c:pt>
                <c:pt idx="146">
                  <c:v>0.19823632256675139</c:v>
                </c:pt>
                <c:pt idx="147">
                  <c:v>0.19878281782338947</c:v>
                </c:pt>
                <c:pt idx="148">
                  <c:v>0.19921465232272206</c:v>
                </c:pt>
                <c:pt idx="149">
                  <c:v>0.19966965992571173</c:v>
                </c:pt>
                <c:pt idx="150">
                  <c:v>0.20001603324003225</c:v>
                </c:pt>
                <c:pt idx="151">
                  <c:v>0.20049164339128756</c:v>
                </c:pt>
                <c:pt idx="152">
                  <c:v>0.20072952876584749</c:v>
                </c:pt>
                <c:pt idx="153">
                  <c:v>0.20104105596302047</c:v>
                </c:pt>
                <c:pt idx="154">
                  <c:v>0.20139515607946246</c:v>
                </c:pt>
                <c:pt idx="155">
                  <c:v>0.20186019949991296</c:v>
                </c:pt>
                <c:pt idx="156">
                  <c:v>0.20202782876904268</c:v>
                </c:pt>
                <c:pt idx="157">
                  <c:v>0.20237251069388451</c:v>
                </c:pt>
                <c:pt idx="158">
                  <c:v>0.20276062943619699</c:v>
                </c:pt>
                <c:pt idx="159">
                  <c:v>0.20317062941737696</c:v>
                </c:pt>
                <c:pt idx="160">
                  <c:v>0.20344976635625867</c:v>
                </c:pt>
                <c:pt idx="161">
                  <c:v>0.20379820977799734</c:v>
                </c:pt>
                <c:pt idx="162">
                  <c:v>0.20422058913342722</c:v>
                </c:pt>
                <c:pt idx="163">
                  <c:v>0.20459814048924208</c:v>
                </c:pt>
                <c:pt idx="164">
                  <c:v>0.2048643136337327</c:v>
                </c:pt>
                <c:pt idx="165">
                  <c:v>0.20532230625568904</c:v>
                </c:pt>
                <c:pt idx="166">
                  <c:v>0.20565766041695466</c:v>
                </c:pt>
                <c:pt idx="167">
                  <c:v>0.20602116092820455</c:v>
                </c:pt>
                <c:pt idx="168">
                  <c:v>0.20630942760701232</c:v>
                </c:pt>
                <c:pt idx="169">
                  <c:v>0.20679120490859138</c:v>
                </c:pt>
                <c:pt idx="170">
                  <c:v>0.20704200678275142</c:v>
                </c:pt>
                <c:pt idx="171">
                  <c:v>0.20753583713087997</c:v>
                </c:pt>
                <c:pt idx="172">
                  <c:v>0.20792316301766545</c:v>
                </c:pt>
                <c:pt idx="173">
                  <c:v>0.20826463697402531</c:v>
                </c:pt>
                <c:pt idx="174">
                  <c:v>0.20874265490934718</c:v>
                </c:pt>
                <c:pt idx="175">
                  <c:v>0.20894925593629798</c:v>
                </c:pt>
                <c:pt idx="176">
                  <c:v>0.20942318984555053</c:v>
                </c:pt>
                <c:pt idx="177">
                  <c:v>0.20983628367436191</c:v>
                </c:pt>
                <c:pt idx="178">
                  <c:v>0.21018711807409618</c:v>
                </c:pt>
                <c:pt idx="179">
                  <c:v>0.21062846667703727</c:v>
                </c:pt>
                <c:pt idx="180">
                  <c:v>0.2109410128835052</c:v>
                </c:pt>
                <c:pt idx="181">
                  <c:v>0.21142953347527094</c:v>
                </c:pt>
                <c:pt idx="182">
                  <c:v>0.21177991086752446</c:v>
                </c:pt>
                <c:pt idx="183">
                  <c:v>0.21213164476007917</c:v>
                </c:pt>
                <c:pt idx="184">
                  <c:v>0.212614313016249</c:v>
                </c:pt>
                <c:pt idx="185">
                  <c:v>0.21282533961082195</c:v>
                </c:pt>
                <c:pt idx="186">
                  <c:v>0.21324411402077237</c:v>
                </c:pt>
                <c:pt idx="187">
                  <c:v>0.21364187132566426</c:v>
                </c:pt>
                <c:pt idx="188">
                  <c:v>0.21399972401157497</c:v>
                </c:pt>
                <c:pt idx="189">
                  <c:v>0.21444210418445864</c:v>
                </c:pt>
                <c:pt idx="190">
                  <c:v>0.21486997334333502</c:v>
                </c:pt>
                <c:pt idx="191">
                  <c:v>0.21518327733356024</c:v>
                </c:pt>
                <c:pt idx="192">
                  <c:v>0.2156625555624383</c:v>
                </c:pt>
                <c:pt idx="193">
                  <c:v>0.21600563735720524</c:v>
                </c:pt>
                <c:pt idx="194">
                  <c:v>0.21656612850216206</c:v>
                </c:pt>
                <c:pt idx="195">
                  <c:v>0.21683433130316931</c:v>
                </c:pt>
                <c:pt idx="196">
                  <c:v>0.21725103851222016</c:v>
                </c:pt>
                <c:pt idx="197">
                  <c:v>0.21766931126437528</c:v>
                </c:pt>
                <c:pt idx="198">
                  <c:v>0.21812495750838989</c:v>
                </c:pt>
              </c:numCache>
            </c:numRef>
          </c:xVal>
          <c:yVal>
            <c:numRef>
              <c:f>'Efficient frontier'!$C$2:$C$200</c:f>
              <c:numCache>
                <c:formatCode>0.00</c:formatCode>
                <c:ptCount val="199"/>
                <c:pt idx="0">
                  <c:v>1.5456166273055851</c:v>
                </c:pt>
                <c:pt idx="1">
                  <c:v>1.565825943212986</c:v>
                </c:pt>
                <c:pt idx="2">
                  <c:v>1.5715452889110049</c:v>
                </c:pt>
                <c:pt idx="3">
                  <c:v>1.5775560715787815</c:v>
                </c:pt>
                <c:pt idx="4">
                  <c:v>1.5829686540634273</c:v>
                </c:pt>
                <c:pt idx="5">
                  <c:v>1.5933162700282699</c:v>
                </c:pt>
                <c:pt idx="6">
                  <c:v>1.6083996678186916</c:v>
                </c:pt>
                <c:pt idx="7">
                  <c:v>1.6167238729399678</c:v>
                </c:pt>
                <c:pt idx="8">
                  <c:v>1.6273650267040671</c:v>
                </c:pt>
                <c:pt idx="9">
                  <c:v>1.6368283327340902</c:v>
                </c:pt>
                <c:pt idx="10">
                  <c:v>1.6450220115279781</c:v>
                </c:pt>
                <c:pt idx="11">
                  <c:v>1.653369499747366</c:v>
                </c:pt>
                <c:pt idx="12">
                  <c:v>1.661923474789107</c:v>
                </c:pt>
                <c:pt idx="13">
                  <c:v>1.6712085796162677</c:v>
                </c:pt>
                <c:pt idx="14">
                  <c:v>1.6807984478400597</c:v>
                </c:pt>
                <c:pt idx="15">
                  <c:v>1.6887730037622417</c:v>
                </c:pt>
                <c:pt idx="16">
                  <c:v>1.6966934405418361</c:v>
                </c:pt>
                <c:pt idx="17">
                  <c:v>1.7034773316948406</c:v>
                </c:pt>
                <c:pt idx="18">
                  <c:v>1.7118130697877867</c:v>
                </c:pt>
                <c:pt idx="19">
                  <c:v>1.7193965465637133</c:v>
                </c:pt>
                <c:pt idx="20">
                  <c:v>1.7284654867347491</c:v>
                </c:pt>
                <c:pt idx="21">
                  <c:v>1.7345476096628214</c:v>
                </c:pt>
                <c:pt idx="22">
                  <c:v>1.7445477183661666</c:v>
                </c:pt>
                <c:pt idx="23">
                  <c:v>1.7508660404395149</c:v>
                </c:pt>
                <c:pt idx="24">
                  <c:v>1.7595501566032474</c:v>
                </c:pt>
                <c:pt idx="25">
                  <c:v>1.7706906450830724</c:v>
                </c:pt>
                <c:pt idx="26">
                  <c:v>1.7763595582520544</c:v>
                </c:pt>
                <c:pt idx="27">
                  <c:v>1.784297664985399</c:v>
                </c:pt>
                <c:pt idx="28">
                  <c:v>1.7924809938164128</c:v>
                </c:pt>
                <c:pt idx="29">
                  <c:v>1.7999969105259661</c:v>
                </c:pt>
                <c:pt idx="30">
                  <c:v>1.8074472700677238</c:v>
                </c:pt>
                <c:pt idx="31">
                  <c:v>1.8148317493444484</c:v>
                </c:pt>
                <c:pt idx="32">
                  <c:v>1.8223787346466782</c:v>
                </c:pt>
                <c:pt idx="33">
                  <c:v>1.829555143091862</c:v>
                </c:pt>
                <c:pt idx="34">
                  <c:v>1.8366661798632513</c:v>
                </c:pt>
                <c:pt idx="35">
                  <c:v>1.8436737227078914</c:v>
                </c:pt>
                <c:pt idx="36">
                  <c:v>1.850570231192858</c:v>
                </c:pt>
                <c:pt idx="37">
                  <c:v>1.8559325442677053</c:v>
                </c:pt>
                <c:pt idx="38">
                  <c:v>1.8639475759038726</c:v>
                </c:pt>
                <c:pt idx="39">
                  <c:v>1.8702516507381166</c:v>
                </c:pt>
                <c:pt idx="40">
                  <c:v>1.878165106420661</c:v>
                </c:pt>
                <c:pt idx="41">
                  <c:v>1.8833861697324337</c:v>
                </c:pt>
                <c:pt idx="42">
                  <c:v>1.8900673994181447</c:v>
                </c:pt>
                <c:pt idx="43">
                  <c:v>1.8955607170603599</c:v>
                </c:pt>
                <c:pt idx="44">
                  <c:v>1.9027674734715958</c:v>
                </c:pt>
                <c:pt idx="45">
                  <c:v>1.9114349868457934</c:v>
                </c:pt>
                <c:pt idx="46">
                  <c:v>1.9173067321692161</c:v>
                </c:pt>
                <c:pt idx="47">
                  <c:v>1.9236451465049933</c:v>
                </c:pt>
                <c:pt idx="48">
                  <c:v>1.9305983803678841</c:v>
                </c:pt>
                <c:pt idx="49">
                  <c:v>1.9357255697226836</c:v>
                </c:pt>
                <c:pt idx="50">
                  <c:v>1.9413483643330061</c:v>
                </c:pt>
                <c:pt idx="51">
                  <c:v>1.9477598607026199</c:v>
                </c:pt>
                <c:pt idx="52">
                  <c:v>1.9540598415347166</c:v>
                </c:pt>
                <c:pt idx="53">
                  <c:v>1.9591627818011648</c:v>
                </c:pt>
                <c:pt idx="54">
                  <c:v>1.9656293373325946</c:v>
                </c:pt>
                <c:pt idx="55">
                  <c:v>1.9716591945708164</c:v>
                </c:pt>
                <c:pt idx="56">
                  <c:v>1.9780803359257761</c:v>
                </c:pt>
                <c:pt idx="57">
                  <c:v>1.9826607871725297</c:v>
                </c:pt>
                <c:pt idx="58">
                  <c:v>1.9880058893478068</c:v>
                </c:pt>
                <c:pt idx="59">
                  <c:v>1.992070892371014</c:v>
                </c:pt>
                <c:pt idx="60">
                  <c:v>1.9989386134527778</c:v>
                </c:pt>
                <c:pt idx="61">
                  <c:v>2.0032630332197447</c:v>
                </c:pt>
                <c:pt idx="62">
                  <c:v>2.0089588365472864</c:v>
                </c:pt>
                <c:pt idx="63">
                  <c:v>2.0148439760494381</c:v>
                </c:pt>
                <c:pt idx="64">
                  <c:v>2.0206489611560539</c:v>
                </c:pt>
                <c:pt idx="65">
                  <c:v>2.0245626128354024</c:v>
                </c:pt>
                <c:pt idx="66">
                  <c:v>2.0280487586073566</c:v>
                </c:pt>
                <c:pt idx="67">
                  <c:v>2.0296743970256013</c:v>
                </c:pt>
                <c:pt idx="68">
                  <c:v>2.0329346011211133</c:v>
                </c:pt>
                <c:pt idx="69">
                  <c:v>2.0357722599576724</c:v>
                </c:pt>
                <c:pt idx="70">
                  <c:v>2.0380415439533315</c:v>
                </c:pt>
                <c:pt idx="71">
                  <c:v>2.0416579483561734</c:v>
                </c:pt>
                <c:pt idx="72">
                  <c:v>2.0447319992152071</c:v>
                </c:pt>
                <c:pt idx="73">
                  <c:v>2.0472569974779296</c:v>
                </c:pt>
                <c:pt idx="74">
                  <c:v>2.049261897047892</c:v>
                </c:pt>
                <c:pt idx="75">
                  <c:v>2.0517023350568597</c:v>
                </c:pt>
                <c:pt idx="76">
                  <c:v>2.0539418274288481</c:v>
                </c:pt>
                <c:pt idx="77">
                  <c:v>2.0576175302614446</c:v>
                </c:pt>
                <c:pt idx="78">
                  <c:v>2.0605389374620171</c:v>
                </c:pt>
                <c:pt idx="79">
                  <c:v>2.0623917977940081</c:v>
                </c:pt>
                <c:pt idx="80">
                  <c:v>2.0659687892507277</c:v>
                </c:pt>
                <c:pt idx="81">
                  <c:v>2.0669789668423544</c:v>
                </c:pt>
                <c:pt idx="82">
                  <c:v>2.0696848666120475</c:v>
                </c:pt>
                <c:pt idx="83">
                  <c:v>2.0720718969127669</c:v>
                </c:pt>
                <c:pt idx="84">
                  <c:v>2.073238182482513</c:v>
                </c:pt>
                <c:pt idx="85">
                  <c:v>2.0765004559821834</c:v>
                </c:pt>
                <c:pt idx="86">
                  <c:v>2.0788534435151171</c:v>
                </c:pt>
                <c:pt idx="87">
                  <c:v>2.0811068953993037</c:v>
                </c:pt>
                <c:pt idx="88">
                  <c:v>2.0833039199761099</c:v>
                </c:pt>
                <c:pt idx="89">
                  <c:v>2.0864725999007798</c:v>
                </c:pt>
                <c:pt idx="90">
                  <c:v>2.0881184245047026</c:v>
                </c:pt>
                <c:pt idx="91">
                  <c:v>2.0901739493450031</c:v>
                </c:pt>
                <c:pt idx="92">
                  <c:v>2.0912293510917608</c:v>
                </c:pt>
                <c:pt idx="93">
                  <c:v>2.0937192800215798</c:v>
                </c:pt>
                <c:pt idx="94">
                  <c:v>2.0954404962374369</c:v>
                </c:pt>
                <c:pt idx="95">
                  <c:v>2.0972063384214756</c:v>
                </c:pt>
                <c:pt idx="96">
                  <c:v>2.0994504567928045</c:v>
                </c:pt>
                <c:pt idx="97">
                  <c:v>2.1016666319193686</c:v>
                </c:pt>
                <c:pt idx="98">
                  <c:v>2.1034389615589069</c:v>
                </c:pt>
                <c:pt idx="99">
                  <c:v>2.1051882608663788</c:v>
                </c:pt>
                <c:pt idx="100">
                  <c:v>2.1069836466390472</c:v>
                </c:pt>
                <c:pt idx="101">
                  <c:v>2.1087305029250607</c:v>
                </c:pt>
                <c:pt idx="102">
                  <c:v>2.1104593964913811</c:v>
                </c:pt>
                <c:pt idx="103">
                  <c:v>2.1121491255321541</c:v>
                </c:pt>
                <c:pt idx="104">
                  <c:v>2.1141367067443624</c:v>
                </c:pt>
                <c:pt idx="105">
                  <c:v>2.1154376707234603</c:v>
                </c:pt>
                <c:pt idx="106">
                  <c:v>2.1170368655784562</c:v>
                </c:pt>
                <c:pt idx="107">
                  <c:v>2.118606263705058</c:v>
                </c:pt>
                <c:pt idx="108">
                  <c:v>2.120532927675546</c:v>
                </c:pt>
                <c:pt idx="109">
                  <c:v>2.1220228301862138</c:v>
                </c:pt>
                <c:pt idx="110">
                  <c:v>2.123653126854165</c:v>
                </c:pt>
                <c:pt idx="111">
                  <c:v>2.1246071596810192</c:v>
                </c:pt>
                <c:pt idx="112">
                  <c:v>2.1260349674731627</c:v>
                </c:pt>
                <c:pt idx="113">
                  <c:v>2.1278382995124829</c:v>
                </c:pt>
                <c:pt idx="114">
                  <c:v>2.129614755382947</c:v>
                </c:pt>
                <c:pt idx="115">
                  <c:v>2.1305781597969826</c:v>
                </c:pt>
                <c:pt idx="116">
                  <c:v>2.1318391092848974</c:v>
                </c:pt>
                <c:pt idx="117">
                  <c:v>2.1330609742325262</c:v>
                </c:pt>
                <c:pt idx="118">
                  <c:v>2.1343646214673502</c:v>
                </c:pt>
                <c:pt idx="119">
                  <c:v>2.1356786983141522</c:v>
                </c:pt>
                <c:pt idx="120">
                  <c:v>2.1369348408749262</c:v>
                </c:pt>
                <c:pt idx="121">
                  <c:v>2.1381187056263311</c:v>
                </c:pt>
                <c:pt idx="122">
                  <c:v>2.1396268881315259</c:v>
                </c:pt>
                <c:pt idx="123">
                  <c:v>2.1402228254683608</c:v>
                </c:pt>
                <c:pt idx="124">
                  <c:v>2.1414834026596674</c:v>
                </c:pt>
                <c:pt idx="125">
                  <c:v>2.1427304786603463</c:v>
                </c:pt>
                <c:pt idx="126">
                  <c:v>2.1435067751475465</c:v>
                </c:pt>
                <c:pt idx="127">
                  <c:v>2.1442911136752589</c:v>
                </c:pt>
                <c:pt idx="128">
                  <c:v>2.1458182144232585</c:v>
                </c:pt>
                <c:pt idx="129">
                  <c:v>2.1464724859931015</c:v>
                </c:pt>
                <c:pt idx="130">
                  <c:v>2.1474257942896302</c:v>
                </c:pt>
                <c:pt idx="131">
                  <c:v>2.1483532345195866</c:v>
                </c:pt>
                <c:pt idx="132">
                  <c:v>2.1492550308207781</c:v>
                </c:pt>
                <c:pt idx="133">
                  <c:v>2.1501314074425055</c:v>
                </c:pt>
                <c:pt idx="134">
                  <c:v>2.1510173086692905</c:v>
                </c:pt>
                <c:pt idx="135">
                  <c:v>2.1518302691658748</c:v>
                </c:pt>
                <c:pt idx="136">
                  <c:v>2.1527820981104888</c:v>
                </c:pt>
                <c:pt idx="137">
                  <c:v>2.1533019906237842</c:v>
                </c:pt>
                <c:pt idx="138">
                  <c:v>2.1536920727645721</c:v>
                </c:pt>
                <c:pt idx="139">
                  <c:v>2.154817843702733</c:v>
                </c:pt>
                <c:pt idx="140">
                  <c:v>2.1554330057733329</c:v>
                </c:pt>
                <c:pt idx="141">
                  <c:v>2.1563319774889051</c:v>
                </c:pt>
                <c:pt idx="142">
                  <c:v>2.1569397893609898</c:v>
                </c:pt>
                <c:pt idx="143">
                  <c:v>2.1577545084304552</c:v>
                </c:pt>
                <c:pt idx="144">
                  <c:v>2.1582159628894075</c:v>
                </c:pt>
                <c:pt idx="145">
                  <c:v>2.1587363976677993</c:v>
                </c:pt>
                <c:pt idx="146">
                  <c:v>2.159095106371852</c:v>
                </c:pt>
                <c:pt idx="147">
                  <c:v>2.1598562023132599</c:v>
                </c:pt>
                <c:pt idx="148">
                  <c:v>2.1604268082540208</c:v>
                </c:pt>
                <c:pt idx="149">
                  <c:v>2.1609930614619621</c:v>
                </c:pt>
                <c:pt idx="150">
                  <c:v>2.1614013198415458</c:v>
                </c:pt>
                <c:pt idx="151">
                  <c:v>2.1619383497279903</c:v>
                </c:pt>
                <c:pt idx="152">
                  <c:v>2.1621955706223139</c:v>
                </c:pt>
                <c:pt idx="153">
                  <c:v>2.162516608786214</c:v>
                </c:pt>
                <c:pt idx="154">
                  <c:v>2.1628602598614806</c:v>
                </c:pt>
                <c:pt idx="155">
                  <c:v>2.163267671908824</c:v>
                </c:pt>
                <c:pt idx="156">
                  <c:v>2.1634225816697223</c:v>
                </c:pt>
                <c:pt idx="157">
                  <c:v>2.1637033601205764</c:v>
                </c:pt>
                <c:pt idx="158">
                  <c:v>2.1639958520539611</c:v>
                </c:pt>
                <c:pt idx="159">
                  <c:v>2.1642833601396307</c:v>
                </c:pt>
                <c:pt idx="160">
                  <c:v>2.1644588161250513</c:v>
                </c:pt>
                <c:pt idx="161">
                  <c:v>2.1646754268049069</c:v>
                </c:pt>
                <c:pt idx="162">
                  <c:v>2.1649080652165598</c:v>
                </c:pt>
                <c:pt idx="163">
                  <c:v>2.165095773910247</c:v>
                </c:pt>
                <c:pt idx="164">
                  <c:v>2.165217268083433</c:v>
                </c:pt>
                <c:pt idx="165">
                  <c:v>2.1654040043109677</c:v>
                </c:pt>
                <c:pt idx="166">
                  <c:v>2.1655243067220149</c:v>
                </c:pt>
                <c:pt idx="167">
                  <c:v>2.1656391079931612</c:v>
                </c:pt>
                <c:pt idx="168">
                  <c:v>2.1657193614347752</c:v>
                </c:pt>
                <c:pt idx="169">
                  <c:v>2.1658305039019718</c:v>
                </c:pt>
                <c:pt idx="170">
                  <c:v>2.1658785707521369</c:v>
                </c:pt>
                <c:pt idx="171">
                  <c:v>2.1659511494654695</c:v>
                </c:pt>
                <c:pt idx="172">
                  <c:v>2.165989748827962</c:v>
                </c:pt>
                <c:pt idx="173">
                  <c:v>2.166007568889496</c:v>
                </c:pt>
                <c:pt idx="174">
                  <c:v>2.166018061586771</c:v>
                </c:pt>
                <c:pt idx="175">
                  <c:v>2.1660173097665067</c:v>
                </c:pt>
                <c:pt idx="176">
                  <c:v>2.1659920968619781</c:v>
                </c:pt>
                <c:pt idx="177">
                  <c:v>2.1659550036869892</c:v>
                </c:pt>
                <c:pt idx="178">
                  <c:v>2.1659083872443676</c:v>
                </c:pt>
                <c:pt idx="179">
                  <c:v>2.1658362646304976</c:v>
                </c:pt>
                <c:pt idx="180">
                  <c:v>2.1657720672321772</c:v>
                </c:pt>
                <c:pt idx="181">
                  <c:v>2.1656571121316817</c:v>
                </c:pt>
                <c:pt idx="182">
                  <c:v>2.1655631044416919</c:v>
                </c:pt>
                <c:pt idx="183">
                  <c:v>2.1654577150818413</c:v>
                </c:pt>
                <c:pt idx="184">
                  <c:v>2.1652912758824132</c:v>
                </c:pt>
                <c:pt idx="185">
                  <c:v>2.1652093520360323</c:v>
                </c:pt>
                <c:pt idx="186">
                  <c:v>2.1650560168813811</c:v>
                </c:pt>
                <c:pt idx="187">
                  <c:v>2.1648887251831672</c:v>
                </c:pt>
                <c:pt idx="188">
                  <c:v>2.1647259519627338</c:v>
                </c:pt>
                <c:pt idx="189">
                  <c:v>2.1645161094053007</c:v>
                </c:pt>
                <c:pt idx="190">
                  <c:v>2.1642963934936459</c:v>
                </c:pt>
                <c:pt idx="191">
                  <c:v>2.1641262564702211</c:v>
                </c:pt>
                <c:pt idx="192">
                  <c:v>2.1638575673467062</c:v>
                </c:pt>
                <c:pt idx="193">
                  <c:v>2.163652175239192</c:v>
                </c:pt>
                <c:pt idx="194">
                  <c:v>2.1633078393956513</c:v>
                </c:pt>
                <c:pt idx="195">
                  <c:v>2.1631289877969064</c:v>
                </c:pt>
                <c:pt idx="196">
                  <c:v>2.1628493201727257</c:v>
                </c:pt>
                <c:pt idx="197">
                  <c:v>2.162557783544345</c:v>
                </c:pt>
                <c:pt idx="198">
                  <c:v>2.1622342904837577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D3EF-4839-BABB-40E87A827B5F}"/>
            </c:ext>
          </c:extLst>
        </c:ser>
        <c:ser>
          <c:idx val="1"/>
          <c:order val="2"/>
          <c:spPr>
            <a:ln>
              <a:noFill/>
            </a:ln>
          </c:spPr>
          <c:marker>
            <c:symbol val="square"/>
            <c:size val="7"/>
            <c:spPr>
              <a:ln>
                <a:noFill/>
              </a:ln>
            </c:spPr>
          </c:marker>
          <c:xVal>
            <c:numRef>
              <c:f>Portfolio!$L$4</c:f>
              <c:numCache>
                <c:formatCode>0.0%</c:formatCode>
                <c:ptCount val="1"/>
                <c:pt idx="0">
                  <c:v>0.20874265490934718</c:v>
                </c:pt>
              </c:numCache>
            </c:numRef>
          </c:xVal>
          <c:yVal>
            <c:numRef>
              <c:f>Portfolio!$L$1</c:f>
              <c:numCache>
                <c:formatCode>0.00</c:formatCode>
                <c:ptCount val="1"/>
                <c:pt idx="0">
                  <c:v>2.166018061586771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D3EF-4839-BABB-40E87A827B5F}"/>
            </c:ext>
          </c:extLst>
        </c:ser>
        <c:axId val="175657344"/>
        <c:axId val="175659648"/>
      </c:scatterChart>
      <c:valAx>
        <c:axId val="175657344"/>
        <c:scaling>
          <c:orientation val="minMax"/>
          <c:max val="0.4"/>
        </c:scaling>
        <c:axPos val="b"/>
        <c:title>
          <c:tx>
            <c:strRef>
              <c:f>'Efficient frontier'!$A$1</c:f>
              <c:strCache>
                <c:ptCount val="1"/>
                <c:pt idx="0">
                  <c:v>Variance / year</c:v>
                </c:pt>
              </c:strCache>
            </c:strRef>
          </c:tx>
          <c:layout/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0"/>
        <c:tickLblPos val="nextTo"/>
        <c:crossAx val="175659648"/>
        <c:crosses val="autoZero"/>
        <c:crossBetween val="midCat"/>
      </c:valAx>
      <c:valAx>
        <c:axId val="175659648"/>
        <c:scaling>
          <c:orientation val="minMax"/>
          <c:min val="0"/>
        </c:scaling>
        <c:axPos val="l"/>
        <c:majorGridlines/>
        <c:title>
          <c:tx>
            <c:strRef>
              <c:f>'Efficient frontier'!$C$1</c:f>
              <c:strCache>
                <c:ptCount val="1"/>
                <c:pt idx="0">
                  <c:v>Sharpe ratio</c:v>
                </c:pt>
              </c:strCache>
            </c:strRef>
          </c:tx>
          <c:layout>
            <c:manualLayout>
              <c:xMode val="edge"/>
              <c:yMode val="edge"/>
              <c:x val="8.3333333333333367E-3"/>
              <c:y val="0.27435730533683444"/>
            </c:manualLayout>
          </c:layout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0"/>
        <c:tickLblPos val="nextTo"/>
        <c:crossAx val="175657344"/>
        <c:crosses val="autoZero"/>
        <c:crossBetween val="midCat"/>
      </c:valAx>
    </c:plotArea>
    <c:plotVisOnly val="1"/>
    <c:dispBlanksAs val="gap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strRef>
          <c:f>Portfolio!$Q$1</c:f>
          <c:strCache>
            <c:ptCount val="1"/>
            <c:pt idx="0">
              <c:v>FXDE</c:v>
            </c:pt>
          </c:strCache>
        </c:strRef>
      </c:tx>
      <c:layout/>
      <c:overlay val="1"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Portfolio!$B$58:$HS$58</c:f>
              <c:numCache>
                <c:formatCode>dd/mm/yyyy</c:formatCode>
                <c:ptCount val="226"/>
                <c:pt idx="0">
                  <c:v>44218</c:v>
                </c:pt>
                <c:pt idx="1">
                  <c:v>44221</c:v>
                </c:pt>
                <c:pt idx="2">
                  <c:v>44222</c:v>
                </c:pt>
                <c:pt idx="3">
                  <c:v>44223</c:v>
                </c:pt>
                <c:pt idx="4">
                  <c:v>44224</c:v>
                </c:pt>
                <c:pt idx="5">
                  <c:v>44225</c:v>
                </c:pt>
                <c:pt idx="6">
                  <c:v>44228</c:v>
                </c:pt>
                <c:pt idx="7">
                  <c:v>44229</c:v>
                </c:pt>
                <c:pt idx="8">
                  <c:v>44230</c:v>
                </c:pt>
                <c:pt idx="9">
                  <c:v>44231</c:v>
                </c:pt>
                <c:pt idx="10">
                  <c:v>44232</c:v>
                </c:pt>
                <c:pt idx="11">
                  <c:v>44235</c:v>
                </c:pt>
                <c:pt idx="12">
                  <c:v>44236</c:v>
                </c:pt>
                <c:pt idx="13">
                  <c:v>44237</c:v>
                </c:pt>
                <c:pt idx="14">
                  <c:v>44238</c:v>
                </c:pt>
                <c:pt idx="15">
                  <c:v>44239</c:v>
                </c:pt>
                <c:pt idx="16">
                  <c:v>44243</c:v>
                </c:pt>
                <c:pt idx="17">
                  <c:v>44244</c:v>
                </c:pt>
                <c:pt idx="18">
                  <c:v>44245</c:v>
                </c:pt>
                <c:pt idx="19">
                  <c:v>44246</c:v>
                </c:pt>
                <c:pt idx="20">
                  <c:v>44249</c:v>
                </c:pt>
                <c:pt idx="21">
                  <c:v>44251</c:v>
                </c:pt>
                <c:pt idx="22">
                  <c:v>44252</c:v>
                </c:pt>
                <c:pt idx="23">
                  <c:v>44253</c:v>
                </c:pt>
                <c:pt idx="24">
                  <c:v>44256</c:v>
                </c:pt>
                <c:pt idx="25">
                  <c:v>44257</c:v>
                </c:pt>
                <c:pt idx="26">
                  <c:v>44258</c:v>
                </c:pt>
                <c:pt idx="27">
                  <c:v>44259</c:v>
                </c:pt>
                <c:pt idx="28">
                  <c:v>44260</c:v>
                </c:pt>
                <c:pt idx="29">
                  <c:v>44264</c:v>
                </c:pt>
                <c:pt idx="30">
                  <c:v>44265</c:v>
                </c:pt>
                <c:pt idx="31">
                  <c:v>44266</c:v>
                </c:pt>
                <c:pt idx="32">
                  <c:v>44267</c:v>
                </c:pt>
                <c:pt idx="33">
                  <c:v>44270</c:v>
                </c:pt>
                <c:pt idx="34">
                  <c:v>44271</c:v>
                </c:pt>
                <c:pt idx="35">
                  <c:v>44272</c:v>
                </c:pt>
                <c:pt idx="36">
                  <c:v>44273</c:v>
                </c:pt>
                <c:pt idx="37">
                  <c:v>44274</c:v>
                </c:pt>
                <c:pt idx="38">
                  <c:v>44277</c:v>
                </c:pt>
                <c:pt idx="39">
                  <c:v>44278</c:v>
                </c:pt>
                <c:pt idx="40">
                  <c:v>44279</c:v>
                </c:pt>
                <c:pt idx="41">
                  <c:v>44280</c:v>
                </c:pt>
                <c:pt idx="42">
                  <c:v>44281</c:v>
                </c:pt>
                <c:pt idx="43">
                  <c:v>44284</c:v>
                </c:pt>
                <c:pt idx="44">
                  <c:v>44285</c:v>
                </c:pt>
                <c:pt idx="45">
                  <c:v>44286</c:v>
                </c:pt>
                <c:pt idx="46">
                  <c:v>44287</c:v>
                </c:pt>
                <c:pt idx="47">
                  <c:v>44292</c:v>
                </c:pt>
                <c:pt idx="48">
                  <c:v>44293</c:v>
                </c:pt>
                <c:pt idx="49">
                  <c:v>44294</c:v>
                </c:pt>
                <c:pt idx="50">
                  <c:v>44295</c:v>
                </c:pt>
                <c:pt idx="51">
                  <c:v>44298</c:v>
                </c:pt>
                <c:pt idx="52">
                  <c:v>44299</c:v>
                </c:pt>
                <c:pt idx="53">
                  <c:v>44300</c:v>
                </c:pt>
                <c:pt idx="54">
                  <c:v>44301</c:v>
                </c:pt>
                <c:pt idx="55">
                  <c:v>44302</c:v>
                </c:pt>
                <c:pt idx="56">
                  <c:v>44305</c:v>
                </c:pt>
                <c:pt idx="57">
                  <c:v>44306</c:v>
                </c:pt>
                <c:pt idx="58">
                  <c:v>44307</c:v>
                </c:pt>
                <c:pt idx="59">
                  <c:v>44308</c:v>
                </c:pt>
                <c:pt idx="60">
                  <c:v>44309</c:v>
                </c:pt>
                <c:pt idx="61">
                  <c:v>44312</c:v>
                </c:pt>
                <c:pt idx="62">
                  <c:v>44313</c:v>
                </c:pt>
                <c:pt idx="63">
                  <c:v>44314</c:v>
                </c:pt>
                <c:pt idx="64">
                  <c:v>44315</c:v>
                </c:pt>
                <c:pt idx="65">
                  <c:v>44316</c:v>
                </c:pt>
                <c:pt idx="66">
                  <c:v>44320</c:v>
                </c:pt>
                <c:pt idx="67">
                  <c:v>44321</c:v>
                </c:pt>
                <c:pt idx="68">
                  <c:v>44322</c:v>
                </c:pt>
                <c:pt idx="69">
                  <c:v>44323</c:v>
                </c:pt>
                <c:pt idx="70">
                  <c:v>44326</c:v>
                </c:pt>
                <c:pt idx="71">
                  <c:v>44327</c:v>
                </c:pt>
                <c:pt idx="72">
                  <c:v>44328</c:v>
                </c:pt>
                <c:pt idx="73">
                  <c:v>44330</c:v>
                </c:pt>
                <c:pt idx="74">
                  <c:v>44333</c:v>
                </c:pt>
                <c:pt idx="75">
                  <c:v>44334</c:v>
                </c:pt>
                <c:pt idx="76">
                  <c:v>44335</c:v>
                </c:pt>
                <c:pt idx="77">
                  <c:v>44336</c:v>
                </c:pt>
                <c:pt idx="78">
                  <c:v>44337</c:v>
                </c:pt>
                <c:pt idx="79">
                  <c:v>44341</c:v>
                </c:pt>
                <c:pt idx="80">
                  <c:v>44342</c:v>
                </c:pt>
                <c:pt idx="81">
                  <c:v>44343</c:v>
                </c:pt>
                <c:pt idx="82">
                  <c:v>44344</c:v>
                </c:pt>
                <c:pt idx="83">
                  <c:v>44348</c:v>
                </c:pt>
                <c:pt idx="84">
                  <c:v>44349</c:v>
                </c:pt>
                <c:pt idx="85">
                  <c:v>44350</c:v>
                </c:pt>
                <c:pt idx="86">
                  <c:v>44351</c:v>
                </c:pt>
                <c:pt idx="87">
                  <c:v>44354</c:v>
                </c:pt>
                <c:pt idx="88">
                  <c:v>44355</c:v>
                </c:pt>
                <c:pt idx="89">
                  <c:v>44356</c:v>
                </c:pt>
                <c:pt idx="90">
                  <c:v>44357</c:v>
                </c:pt>
                <c:pt idx="91">
                  <c:v>44358</c:v>
                </c:pt>
                <c:pt idx="92">
                  <c:v>44361</c:v>
                </c:pt>
                <c:pt idx="93">
                  <c:v>44362</c:v>
                </c:pt>
                <c:pt idx="94">
                  <c:v>44363</c:v>
                </c:pt>
                <c:pt idx="95">
                  <c:v>44364</c:v>
                </c:pt>
                <c:pt idx="96">
                  <c:v>44365</c:v>
                </c:pt>
                <c:pt idx="97">
                  <c:v>44368</c:v>
                </c:pt>
                <c:pt idx="98">
                  <c:v>44369</c:v>
                </c:pt>
                <c:pt idx="99">
                  <c:v>44371</c:v>
                </c:pt>
                <c:pt idx="100">
                  <c:v>44372</c:v>
                </c:pt>
                <c:pt idx="101">
                  <c:v>44375</c:v>
                </c:pt>
                <c:pt idx="102">
                  <c:v>44376</c:v>
                </c:pt>
                <c:pt idx="103">
                  <c:v>44377</c:v>
                </c:pt>
                <c:pt idx="104">
                  <c:v>44378</c:v>
                </c:pt>
                <c:pt idx="105">
                  <c:v>44379</c:v>
                </c:pt>
                <c:pt idx="106">
                  <c:v>44383</c:v>
                </c:pt>
                <c:pt idx="107">
                  <c:v>44384</c:v>
                </c:pt>
                <c:pt idx="108">
                  <c:v>44385</c:v>
                </c:pt>
                <c:pt idx="109">
                  <c:v>44386</c:v>
                </c:pt>
                <c:pt idx="110">
                  <c:v>44389</c:v>
                </c:pt>
                <c:pt idx="111">
                  <c:v>44390</c:v>
                </c:pt>
                <c:pt idx="112">
                  <c:v>44391</c:v>
                </c:pt>
                <c:pt idx="113">
                  <c:v>44393</c:v>
                </c:pt>
                <c:pt idx="114">
                  <c:v>44396</c:v>
                </c:pt>
                <c:pt idx="115">
                  <c:v>44397</c:v>
                </c:pt>
                <c:pt idx="116">
                  <c:v>44398</c:v>
                </c:pt>
                <c:pt idx="117">
                  <c:v>44399</c:v>
                </c:pt>
                <c:pt idx="118">
                  <c:v>44400</c:v>
                </c:pt>
                <c:pt idx="119">
                  <c:v>44403</c:v>
                </c:pt>
                <c:pt idx="120">
                  <c:v>44404</c:v>
                </c:pt>
                <c:pt idx="121">
                  <c:v>44405</c:v>
                </c:pt>
                <c:pt idx="122">
                  <c:v>44406</c:v>
                </c:pt>
                <c:pt idx="123">
                  <c:v>44407</c:v>
                </c:pt>
                <c:pt idx="124">
                  <c:v>44410</c:v>
                </c:pt>
                <c:pt idx="125">
                  <c:v>44411</c:v>
                </c:pt>
                <c:pt idx="126">
                  <c:v>44412</c:v>
                </c:pt>
                <c:pt idx="127">
                  <c:v>44413</c:v>
                </c:pt>
                <c:pt idx="128">
                  <c:v>44414</c:v>
                </c:pt>
                <c:pt idx="129">
                  <c:v>44417</c:v>
                </c:pt>
                <c:pt idx="130">
                  <c:v>44418</c:v>
                </c:pt>
                <c:pt idx="131">
                  <c:v>44419</c:v>
                </c:pt>
                <c:pt idx="132">
                  <c:v>44420</c:v>
                </c:pt>
                <c:pt idx="133">
                  <c:v>44421</c:v>
                </c:pt>
                <c:pt idx="134">
                  <c:v>44424</c:v>
                </c:pt>
                <c:pt idx="135">
                  <c:v>44425</c:v>
                </c:pt>
                <c:pt idx="136">
                  <c:v>44426</c:v>
                </c:pt>
                <c:pt idx="137">
                  <c:v>44427</c:v>
                </c:pt>
                <c:pt idx="138">
                  <c:v>44428</c:v>
                </c:pt>
                <c:pt idx="139">
                  <c:v>44431</c:v>
                </c:pt>
                <c:pt idx="140">
                  <c:v>44432</c:v>
                </c:pt>
                <c:pt idx="141">
                  <c:v>44433</c:v>
                </c:pt>
                <c:pt idx="142">
                  <c:v>44434</c:v>
                </c:pt>
                <c:pt idx="143">
                  <c:v>44435</c:v>
                </c:pt>
                <c:pt idx="144">
                  <c:v>44438</c:v>
                </c:pt>
                <c:pt idx="145">
                  <c:v>44439</c:v>
                </c:pt>
                <c:pt idx="146">
                  <c:v>44440</c:v>
                </c:pt>
                <c:pt idx="147">
                  <c:v>44441</c:v>
                </c:pt>
                <c:pt idx="148">
                  <c:v>44442</c:v>
                </c:pt>
                <c:pt idx="149">
                  <c:v>44446</c:v>
                </c:pt>
                <c:pt idx="150">
                  <c:v>44447</c:v>
                </c:pt>
                <c:pt idx="151">
                  <c:v>44448</c:v>
                </c:pt>
                <c:pt idx="152">
                  <c:v>44449</c:v>
                </c:pt>
                <c:pt idx="153">
                  <c:v>44452</c:v>
                </c:pt>
                <c:pt idx="154">
                  <c:v>44453</c:v>
                </c:pt>
                <c:pt idx="155">
                  <c:v>44454</c:v>
                </c:pt>
                <c:pt idx="156">
                  <c:v>44455</c:v>
                </c:pt>
                <c:pt idx="157">
                  <c:v>44456</c:v>
                </c:pt>
                <c:pt idx="158">
                  <c:v>44459</c:v>
                </c:pt>
                <c:pt idx="159">
                  <c:v>44460</c:v>
                </c:pt>
                <c:pt idx="160">
                  <c:v>44461</c:v>
                </c:pt>
                <c:pt idx="161">
                  <c:v>44462</c:v>
                </c:pt>
                <c:pt idx="162">
                  <c:v>44463</c:v>
                </c:pt>
                <c:pt idx="163">
                  <c:v>44466</c:v>
                </c:pt>
                <c:pt idx="164">
                  <c:v>44467</c:v>
                </c:pt>
                <c:pt idx="165">
                  <c:v>44468</c:v>
                </c:pt>
                <c:pt idx="166">
                  <c:v>44469</c:v>
                </c:pt>
                <c:pt idx="167">
                  <c:v>44470</c:v>
                </c:pt>
                <c:pt idx="168">
                  <c:v>44473</c:v>
                </c:pt>
                <c:pt idx="169">
                  <c:v>44474</c:v>
                </c:pt>
                <c:pt idx="170">
                  <c:v>44475</c:v>
                </c:pt>
                <c:pt idx="171">
                  <c:v>44476</c:v>
                </c:pt>
                <c:pt idx="172">
                  <c:v>44477</c:v>
                </c:pt>
                <c:pt idx="173">
                  <c:v>44480</c:v>
                </c:pt>
                <c:pt idx="174">
                  <c:v>44481</c:v>
                </c:pt>
                <c:pt idx="175">
                  <c:v>44482</c:v>
                </c:pt>
                <c:pt idx="176">
                  <c:v>44483</c:v>
                </c:pt>
                <c:pt idx="177">
                  <c:v>44484</c:v>
                </c:pt>
                <c:pt idx="178">
                  <c:v>44487</c:v>
                </c:pt>
                <c:pt idx="179">
                  <c:v>44488</c:v>
                </c:pt>
                <c:pt idx="180">
                  <c:v>44489</c:v>
                </c:pt>
                <c:pt idx="181">
                  <c:v>44490</c:v>
                </c:pt>
                <c:pt idx="182">
                  <c:v>44491</c:v>
                </c:pt>
                <c:pt idx="183">
                  <c:v>44494</c:v>
                </c:pt>
                <c:pt idx="184">
                  <c:v>44495</c:v>
                </c:pt>
                <c:pt idx="185">
                  <c:v>44496</c:v>
                </c:pt>
                <c:pt idx="186">
                  <c:v>44497</c:v>
                </c:pt>
                <c:pt idx="187">
                  <c:v>44498</c:v>
                </c:pt>
                <c:pt idx="188">
                  <c:v>44502</c:v>
                </c:pt>
                <c:pt idx="189">
                  <c:v>44503</c:v>
                </c:pt>
                <c:pt idx="190">
                  <c:v>44505</c:v>
                </c:pt>
                <c:pt idx="191">
                  <c:v>44508</c:v>
                </c:pt>
                <c:pt idx="192">
                  <c:v>44509</c:v>
                </c:pt>
                <c:pt idx="193">
                  <c:v>44510</c:v>
                </c:pt>
                <c:pt idx="194">
                  <c:v>44511</c:v>
                </c:pt>
                <c:pt idx="195">
                  <c:v>44512</c:v>
                </c:pt>
                <c:pt idx="196">
                  <c:v>44515</c:v>
                </c:pt>
                <c:pt idx="197">
                  <c:v>44516</c:v>
                </c:pt>
                <c:pt idx="198">
                  <c:v>44517</c:v>
                </c:pt>
                <c:pt idx="199">
                  <c:v>44518</c:v>
                </c:pt>
                <c:pt idx="200">
                  <c:v>44519</c:v>
                </c:pt>
                <c:pt idx="201">
                  <c:v>44522</c:v>
                </c:pt>
                <c:pt idx="202">
                  <c:v>44523</c:v>
                </c:pt>
                <c:pt idx="203">
                  <c:v>44524</c:v>
                </c:pt>
                <c:pt idx="204">
                  <c:v>44526</c:v>
                </c:pt>
                <c:pt idx="205">
                  <c:v>44529</c:v>
                </c:pt>
                <c:pt idx="206">
                  <c:v>44530</c:v>
                </c:pt>
                <c:pt idx="207">
                  <c:v>44531</c:v>
                </c:pt>
                <c:pt idx="208">
                  <c:v>44532</c:v>
                </c:pt>
                <c:pt idx="209">
                  <c:v>44533</c:v>
                </c:pt>
                <c:pt idx="210">
                  <c:v>44536</c:v>
                </c:pt>
                <c:pt idx="211">
                  <c:v>44537</c:v>
                </c:pt>
                <c:pt idx="212">
                  <c:v>44538</c:v>
                </c:pt>
                <c:pt idx="213">
                  <c:v>44539</c:v>
                </c:pt>
                <c:pt idx="214">
                  <c:v>44540</c:v>
                </c:pt>
                <c:pt idx="215">
                  <c:v>44543</c:v>
                </c:pt>
                <c:pt idx="216">
                  <c:v>44544</c:v>
                </c:pt>
                <c:pt idx="217">
                  <c:v>44545</c:v>
                </c:pt>
                <c:pt idx="218">
                  <c:v>44546</c:v>
                </c:pt>
                <c:pt idx="219">
                  <c:v>44547</c:v>
                </c:pt>
                <c:pt idx="220">
                  <c:v>44550</c:v>
                </c:pt>
                <c:pt idx="221">
                  <c:v>44551</c:v>
                </c:pt>
                <c:pt idx="222">
                  <c:v>44552</c:v>
                </c:pt>
                <c:pt idx="223">
                  <c:v>44553</c:v>
                </c:pt>
                <c:pt idx="224">
                  <c:v>44557</c:v>
                </c:pt>
                <c:pt idx="225">
                  <c:v>44558</c:v>
                </c:pt>
              </c:numCache>
            </c:numRef>
          </c:xVal>
          <c:yVal>
            <c:numRef>
              <c:f>Portfolio!$B$59:$HS$59</c:f>
              <c:numCache>
                <c:formatCode>General</c:formatCode>
                <c:ptCount val="226"/>
                <c:pt idx="0">
                  <c:v>31.35</c:v>
                </c:pt>
                <c:pt idx="1">
                  <c:v>30.98</c:v>
                </c:pt>
                <c:pt idx="2">
                  <c:v>31.59</c:v>
                </c:pt>
                <c:pt idx="3">
                  <c:v>30.69</c:v>
                </c:pt>
                <c:pt idx="4">
                  <c:v>31.06</c:v>
                </c:pt>
                <c:pt idx="5">
                  <c:v>30.6</c:v>
                </c:pt>
                <c:pt idx="6">
                  <c:v>31.15</c:v>
                </c:pt>
                <c:pt idx="7">
                  <c:v>31.49</c:v>
                </c:pt>
                <c:pt idx="8">
                  <c:v>31.74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31.83</c:v>
                </c:pt>
                <c:pt idx="13">
                  <c:v>31.71</c:v>
                </c:pt>
                <c:pt idx="14">
                  <c:v>31.89</c:v>
                </c:pt>
                <c:pt idx="15">
                  <c:v>32.04</c:v>
                </c:pt>
                <c:pt idx="16">
                  <c:v>32.19</c:v>
                </c:pt>
                <c:pt idx="17">
                  <c:v>31.85</c:v>
                </c:pt>
                <c:pt idx="18">
                  <c:v>31.79</c:v>
                </c:pt>
                <c:pt idx="19">
                  <c:v>31.84</c:v>
                </c:pt>
                <c:pt idx="20">
                  <c:v>31.76</c:v>
                </c:pt>
                <c:pt idx="21">
                  <c:v>31.81</c:v>
                </c:pt>
                <c:pt idx="22">
                  <c:v>31.26</c:v>
                </c:pt>
                <c:pt idx="23">
                  <c:v>31.5</c:v>
                </c:pt>
                <c:pt idx="24">
                  <c:v>31.86</c:v>
                </c:pt>
                <c:pt idx="25">
                  <c:v>31.95</c:v>
                </c:pt>
                <c:pt idx="26">
                  <c:v>31.75</c:v>
                </c:pt>
                <c:pt idx="27">
                  <c:v>31.57</c:v>
                </c:pt>
                <c:pt idx="28">
                  <c:v>31.72</c:v>
                </c:pt>
                <c:pt idx="29">
                  <c:v>32.49</c:v>
                </c:pt>
                <c:pt idx="30">
                  <c:v>32.71</c:v>
                </c:pt>
                <c:pt idx="31">
                  <c:v>32.799999999999997</c:v>
                </c:pt>
                <c:pt idx="32">
                  <c:v>32.770000000000003</c:v>
                </c:pt>
                <c:pt idx="33">
                  <c:v>32.770000000000003</c:v>
                </c:pt>
                <c:pt idx="34">
                  <c:v>32.76</c:v>
                </c:pt>
                <c:pt idx="35">
                  <c:v>33.15</c:v>
                </c:pt>
                <c:pt idx="36">
                  <c:v>33.24</c:v>
                </c:pt>
                <c:pt idx="37">
                  <c:v>33.14</c:v>
                </c:pt>
                <c:pt idx="38">
                  <c:v>33.159999999999997</c:v>
                </c:pt>
                <c:pt idx="39">
                  <c:v>33.119999999999997</c:v>
                </c:pt>
                <c:pt idx="40">
                  <c:v>32.880000000000003</c:v>
                </c:pt>
                <c:pt idx="41">
                  <c:v>33.1</c:v>
                </c:pt>
                <c:pt idx="42">
                  <c:v>33.43</c:v>
                </c:pt>
                <c:pt idx="43">
                  <c:v>33.47</c:v>
                </c:pt>
                <c:pt idx="44">
                  <c:v>33.68</c:v>
                </c:pt>
                <c:pt idx="45">
                  <c:v>33.869999999999997</c:v>
                </c:pt>
                <c:pt idx="46">
                  <c:v>34.19</c:v>
                </c:pt>
                <c:pt idx="47">
                  <c:v>34.340000000000003</c:v>
                </c:pt>
                <c:pt idx="48">
                  <c:v>34.32</c:v>
                </c:pt>
                <c:pt idx="49">
                  <c:v>34.369999999999997</c:v>
                </c:pt>
                <c:pt idx="50">
                  <c:v>34.44</c:v>
                </c:pt>
                <c:pt idx="51">
                  <c:v>34.51</c:v>
                </c:pt>
                <c:pt idx="52">
                  <c:v>34.47</c:v>
                </c:pt>
                <c:pt idx="53">
                  <c:v>34.35</c:v>
                </c:pt>
                <c:pt idx="54">
                  <c:v>34.53</c:v>
                </c:pt>
                <c:pt idx="55">
                  <c:v>35.1</c:v>
                </c:pt>
                <c:pt idx="56">
                  <c:v>34.950000000000003</c:v>
                </c:pt>
                <c:pt idx="57">
                  <c:v>34.43</c:v>
                </c:pt>
                <c:pt idx="58">
                  <c:v>34.68</c:v>
                </c:pt>
                <c:pt idx="59">
                  <c:v>34.619999999999997</c:v>
                </c:pt>
                <c:pt idx="60">
                  <c:v>34.64</c:v>
                </c:pt>
                <c:pt idx="61">
                  <c:v>34.799999999999997</c:v>
                </c:pt>
                <c:pt idx="62">
                  <c:v>34.78</c:v>
                </c:pt>
                <c:pt idx="63">
                  <c:v>34.75</c:v>
                </c:pt>
                <c:pt idx="64">
                  <c:v>34.58</c:v>
                </c:pt>
                <c:pt idx="65">
                  <c:v>34.44</c:v>
                </c:pt>
                <c:pt idx="66">
                  <c:v>34</c:v>
                </c:pt>
                <c:pt idx="67">
                  <c:v>34.49</c:v>
                </c:pt>
                <c:pt idx="68">
                  <c:v>34.619999999999997</c:v>
                </c:pt>
                <c:pt idx="69">
                  <c:v>34.85</c:v>
                </c:pt>
                <c:pt idx="70">
                  <c:v>34.69</c:v>
                </c:pt>
                <c:pt idx="71">
                  <c:v>34.26</c:v>
                </c:pt>
                <c:pt idx="72">
                  <c:v>34.049999999999997</c:v>
                </c:pt>
                <c:pt idx="73">
                  <c:v>34.799999999999997</c:v>
                </c:pt>
                <c:pt idx="74">
                  <c:v>34.75</c:v>
                </c:pt>
                <c:pt idx="75">
                  <c:v>34.65</c:v>
                </c:pt>
                <c:pt idx="76">
                  <c:v>34.33</c:v>
                </c:pt>
                <c:pt idx="77">
                  <c:v>34.72</c:v>
                </c:pt>
                <c:pt idx="78">
                  <c:v>34.9</c:v>
                </c:pt>
                <c:pt idx="79">
                  <c:v>34.700000000000003</c:v>
                </c:pt>
                <c:pt idx="80">
                  <c:v>34.92</c:v>
                </c:pt>
                <c:pt idx="81">
                  <c:v>34.97</c:v>
                </c:pt>
                <c:pt idx="82">
                  <c:v>35</c:v>
                </c:pt>
                <c:pt idx="83">
                  <c:v>35.26</c:v>
                </c:pt>
                <c:pt idx="84">
                  <c:v>35.25</c:v>
                </c:pt>
                <c:pt idx="85">
                  <c:v>35.5</c:v>
                </c:pt>
                <c:pt idx="86">
                  <c:v>35.659999999999997</c:v>
                </c:pt>
                <c:pt idx="87">
                  <c:v>35.659999999999997</c:v>
                </c:pt>
                <c:pt idx="88">
                  <c:v>35.78</c:v>
                </c:pt>
                <c:pt idx="89">
                  <c:v>35.51</c:v>
                </c:pt>
                <c:pt idx="90">
                  <c:v>35.51</c:v>
                </c:pt>
                <c:pt idx="91">
                  <c:v>35.81</c:v>
                </c:pt>
                <c:pt idx="92">
                  <c:v>35.840000000000003</c:v>
                </c:pt>
                <c:pt idx="93">
                  <c:v>35.9</c:v>
                </c:pt>
                <c:pt idx="94">
                  <c:v>35.869999999999997</c:v>
                </c:pt>
                <c:pt idx="95">
                  <c:v>35.880000000000003</c:v>
                </c:pt>
                <c:pt idx="96">
                  <c:v>35.25</c:v>
                </c:pt>
                <c:pt idx="97">
                  <c:v>35.68</c:v>
                </c:pt>
                <c:pt idx="98">
                  <c:v>35.619999999999997</c:v>
                </c:pt>
                <c:pt idx="99">
                  <c:v>35.590000000000003</c:v>
                </c:pt>
                <c:pt idx="100">
                  <c:v>35.67</c:v>
                </c:pt>
                <c:pt idx="101">
                  <c:v>35.61</c:v>
                </c:pt>
                <c:pt idx="102">
                  <c:v>36.479999999999997</c:v>
                </c:pt>
                <c:pt idx="103">
                  <c:v>35.46</c:v>
                </c:pt>
                <c:pt idx="104">
                  <c:v>35.54</c:v>
                </c:pt>
                <c:pt idx="105">
                  <c:v>35.799999999999997</c:v>
                </c:pt>
                <c:pt idx="106">
                  <c:v>35.299999999999997</c:v>
                </c:pt>
                <c:pt idx="107">
                  <c:v>35.71</c:v>
                </c:pt>
                <c:pt idx="108">
                  <c:v>35.15</c:v>
                </c:pt>
                <c:pt idx="109">
                  <c:v>35.700000000000003</c:v>
                </c:pt>
                <c:pt idx="110">
                  <c:v>35.99</c:v>
                </c:pt>
                <c:pt idx="111">
                  <c:v>35.979999999999997</c:v>
                </c:pt>
                <c:pt idx="112">
                  <c:v>35.86</c:v>
                </c:pt>
                <c:pt idx="113">
                  <c:v>35.299999999999997</c:v>
                </c:pt>
                <c:pt idx="114">
                  <c:v>34.549999999999997</c:v>
                </c:pt>
                <c:pt idx="115">
                  <c:v>34.86</c:v>
                </c:pt>
                <c:pt idx="116">
                  <c:v>35.229999999999997</c:v>
                </c:pt>
                <c:pt idx="117">
                  <c:v>35.409999999999997</c:v>
                </c:pt>
                <c:pt idx="118">
                  <c:v>35.78</c:v>
                </c:pt>
                <c:pt idx="119">
                  <c:v>35.67</c:v>
                </c:pt>
                <c:pt idx="120">
                  <c:v>35.46</c:v>
                </c:pt>
                <c:pt idx="121">
                  <c:v>35.46</c:v>
                </c:pt>
                <c:pt idx="122">
                  <c:v>35.630000000000003</c:v>
                </c:pt>
                <c:pt idx="123">
                  <c:v>35.5</c:v>
                </c:pt>
                <c:pt idx="124">
                  <c:v>35.4</c:v>
                </c:pt>
                <c:pt idx="125">
                  <c:v>35.56</c:v>
                </c:pt>
                <c:pt idx="126">
                  <c:v>35.85</c:v>
                </c:pt>
                <c:pt idx="127">
                  <c:v>36.090000000000003</c:v>
                </c:pt>
                <c:pt idx="128">
                  <c:v>36.15</c:v>
                </c:pt>
                <c:pt idx="129">
                  <c:v>36.130000000000003</c:v>
                </c:pt>
                <c:pt idx="130">
                  <c:v>36.31</c:v>
                </c:pt>
                <c:pt idx="131">
                  <c:v>36.44</c:v>
                </c:pt>
                <c:pt idx="132">
                  <c:v>36.5</c:v>
                </c:pt>
                <c:pt idx="133">
                  <c:v>36.67</c:v>
                </c:pt>
                <c:pt idx="134">
                  <c:v>36.49</c:v>
                </c:pt>
                <c:pt idx="135">
                  <c:v>36.299999999999997</c:v>
                </c:pt>
                <c:pt idx="136">
                  <c:v>36.36</c:v>
                </c:pt>
                <c:pt idx="137">
                  <c:v>36.17</c:v>
                </c:pt>
                <c:pt idx="138">
                  <c:v>36.049999999999997</c:v>
                </c:pt>
                <c:pt idx="139">
                  <c:v>36.130000000000003</c:v>
                </c:pt>
                <c:pt idx="140">
                  <c:v>36.35</c:v>
                </c:pt>
                <c:pt idx="141">
                  <c:v>36.229999999999997</c:v>
                </c:pt>
                <c:pt idx="142">
                  <c:v>36.049999999999997</c:v>
                </c:pt>
                <c:pt idx="143">
                  <c:v>36.22</c:v>
                </c:pt>
                <c:pt idx="144">
                  <c:v>36.200000000000003</c:v>
                </c:pt>
                <c:pt idx="145">
                  <c:v>36.04</c:v>
                </c:pt>
                <c:pt idx="146">
                  <c:v>36.01</c:v>
                </c:pt>
                <c:pt idx="147">
                  <c:v>36.04</c:v>
                </c:pt>
                <c:pt idx="148">
                  <c:v>35.979999999999997</c:v>
                </c:pt>
                <c:pt idx="149">
                  <c:v>36.28</c:v>
                </c:pt>
                <c:pt idx="150">
                  <c:v>36.15</c:v>
                </c:pt>
                <c:pt idx="151">
                  <c:v>0.35639999999999999</c:v>
                </c:pt>
                <c:pt idx="152">
                  <c:v>0.35570000000000002</c:v>
                </c:pt>
                <c:pt idx="153">
                  <c:v>0.36</c:v>
                </c:pt>
                <c:pt idx="154">
                  <c:v>0.3579</c:v>
                </c:pt>
                <c:pt idx="155">
                  <c:v>0.35820000000000002</c:v>
                </c:pt>
                <c:pt idx="156">
                  <c:v>0.35820000000000002</c:v>
                </c:pt>
                <c:pt idx="157">
                  <c:v>0.35399999999999998</c:v>
                </c:pt>
                <c:pt idx="158">
                  <c:v>0.3498</c:v>
                </c:pt>
                <c:pt idx="159">
                  <c:v>0.34889999999999999</c:v>
                </c:pt>
                <c:pt idx="160">
                  <c:v>0.35339999999999999</c:v>
                </c:pt>
                <c:pt idx="161">
                  <c:v>0.35699999999999998</c:v>
                </c:pt>
                <c:pt idx="162">
                  <c:v>0.35489999999999999</c:v>
                </c:pt>
                <c:pt idx="163">
                  <c:v>0.35510000000000003</c:v>
                </c:pt>
                <c:pt idx="164">
                  <c:v>0.34670000000000001</c:v>
                </c:pt>
                <c:pt idx="165">
                  <c:v>0.3493</c:v>
                </c:pt>
                <c:pt idx="166">
                  <c:v>0.34599999999999997</c:v>
                </c:pt>
                <c:pt idx="167">
                  <c:v>0.34670000000000001</c:v>
                </c:pt>
                <c:pt idx="168">
                  <c:v>0.3417</c:v>
                </c:pt>
                <c:pt idx="169">
                  <c:v>0.34399999999999997</c:v>
                </c:pt>
                <c:pt idx="170">
                  <c:v>0.34100000000000003</c:v>
                </c:pt>
                <c:pt idx="171">
                  <c:v>0.34449999999999997</c:v>
                </c:pt>
                <c:pt idx="172">
                  <c:v>0.34389999999999998</c:v>
                </c:pt>
                <c:pt idx="173">
                  <c:v>0.34289999999999998</c:v>
                </c:pt>
                <c:pt idx="174">
                  <c:v>0.34329999999999999</c:v>
                </c:pt>
                <c:pt idx="175">
                  <c:v>0.34589999999999999</c:v>
                </c:pt>
                <c:pt idx="176">
                  <c:v>0.35</c:v>
                </c:pt>
                <c:pt idx="177">
                  <c:v>0.35260000000000002</c:v>
                </c:pt>
                <c:pt idx="178">
                  <c:v>0.35060000000000002</c:v>
                </c:pt>
                <c:pt idx="179">
                  <c:v>0.35089999999999999</c:v>
                </c:pt>
                <c:pt idx="180">
                  <c:v>0.35139999999999999</c:v>
                </c:pt>
                <c:pt idx="181">
                  <c:v>0.35139999999999999</c:v>
                </c:pt>
                <c:pt idx="182">
                  <c:v>0.35959999999999998</c:v>
                </c:pt>
                <c:pt idx="183">
                  <c:v>0.35349999999999998</c:v>
                </c:pt>
                <c:pt idx="184">
                  <c:v>0.35599999999999998</c:v>
                </c:pt>
                <c:pt idx="185">
                  <c:v>0.35649999999999998</c:v>
                </c:pt>
                <c:pt idx="186">
                  <c:v>0.35520000000000002</c:v>
                </c:pt>
                <c:pt idx="187">
                  <c:v>0.35610000000000003</c:v>
                </c:pt>
                <c:pt idx="188">
                  <c:v>0.35959999999999998</c:v>
                </c:pt>
                <c:pt idx="189">
                  <c:v>0.36130000000000001</c:v>
                </c:pt>
                <c:pt idx="190">
                  <c:v>0.36320000000000002</c:v>
                </c:pt>
                <c:pt idx="191">
                  <c:v>0.3609</c:v>
                </c:pt>
                <c:pt idx="192">
                  <c:v>0.36009999999999998</c:v>
                </c:pt>
                <c:pt idx="193">
                  <c:v>0.3589</c:v>
                </c:pt>
                <c:pt idx="194">
                  <c:v>0.36130000000000001</c:v>
                </c:pt>
                <c:pt idx="195">
                  <c:v>0.36120000000000002</c:v>
                </c:pt>
                <c:pt idx="196">
                  <c:v>0.36230000000000001</c:v>
                </c:pt>
                <c:pt idx="197">
                  <c:v>0.36470000000000002</c:v>
                </c:pt>
                <c:pt idx="198">
                  <c:v>0.36499999999999999</c:v>
                </c:pt>
                <c:pt idx="199">
                  <c:v>0.36509999999999998</c:v>
                </c:pt>
                <c:pt idx="200">
                  <c:v>0.36330000000000001</c:v>
                </c:pt>
                <c:pt idx="201">
                  <c:v>0.3619</c:v>
                </c:pt>
                <c:pt idx="202">
                  <c:v>0.3599</c:v>
                </c:pt>
                <c:pt idx="203">
                  <c:v>0.35720000000000002</c:v>
                </c:pt>
                <c:pt idx="204">
                  <c:v>0.34050000000000002</c:v>
                </c:pt>
                <c:pt idx="205">
                  <c:v>0.34760000000000002</c:v>
                </c:pt>
                <c:pt idx="206">
                  <c:v>0.3427</c:v>
                </c:pt>
                <c:pt idx="207">
                  <c:v>0.34489999999999998</c:v>
                </c:pt>
                <c:pt idx="208">
                  <c:v>0.34760000000000002</c:v>
                </c:pt>
                <c:pt idx="209">
                  <c:v>0.3417</c:v>
                </c:pt>
                <c:pt idx="210">
                  <c:v>0.34760000000000002</c:v>
                </c:pt>
                <c:pt idx="211">
                  <c:v>0.35439999999999999</c:v>
                </c:pt>
                <c:pt idx="212">
                  <c:v>0.35349999999999998</c:v>
                </c:pt>
                <c:pt idx="213">
                  <c:v>0.35199999999999998</c:v>
                </c:pt>
                <c:pt idx="214">
                  <c:v>0.35139999999999999</c:v>
                </c:pt>
                <c:pt idx="215">
                  <c:v>0.35089999999999999</c:v>
                </c:pt>
                <c:pt idx="216">
                  <c:v>0.34939999999999999</c:v>
                </c:pt>
                <c:pt idx="217">
                  <c:v>0.35070000000000001</c:v>
                </c:pt>
                <c:pt idx="218">
                  <c:v>0.35049999999999998</c:v>
                </c:pt>
                <c:pt idx="219">
                  <c:v>0.34970000000000001</c:v>
                </c:pt>
                <c:pt idx="220">
                  <c:v>0.34460000000000002</c:v>
                </c:pt>
                <c:pt idx="221">
                  <c:v>0.34949999999999998</c:v>
                </c:pt>
                <c:pt idx="222">
                  <c:v>0.35099999999999998</c:v>
                </c:pt>
                <c:pt idx="223">
                  <c:v>0.35389999999999999</c:v>
                </c:pt>
                <c:pt idx="224">
                  <c:v>0.35499999999999998</c:v>
                </c:pt>
                <c:pt idx="225">
                  <c:v>0.35709999999999997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1CC-4E94-A3E5-6F2D77441F13}"/>
            </c:ext>
          </c:extLst>
        </c:ser>
        <c:axId val="175686784"/>
        <c:axId val="175688320"/>
      </c:scatterChart>
      <c:valAx>
        <c:axId val="175686784"/>
        <c:scaling>
          <c:orientation val="minMax"/>
        </c:scaling>
        <c:axPos val="b"/>
        <c:numFmt formatCode="dd/mm/yyyy" sourceLinked="1"/>
        <c:tickLblPos val="nextTo"/>
        <c:crossAx val="175688320"/>
        <c:crosses val="autoZero"/>
        <c:crossBetween val="midCat"/>
        <c:majorUnit val="100"/>
      </c:valAx>
      <c:valAx>
        <c:axId val="175688320"/>
        <c:scaling>
          <c:orientation val="minMax"/>
        </c:scaling>
        <c:axPos val="l"/>
        <c:majorGridlines/>
        <c:numFmt formatCode="General" sourceLinked="1"/>
        <c:tickLblPos val="nextTo"/>
        <c:crossAx val="175686784"/>
        <c:crosses val="autoZero"/>
        <c:crossBetween val="midCat"/>
      </c:valAx>
    </c:plotArea>
    <c:plotVisOnly val="1"/>
    <c:dispBlanksAs val="gap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50" dropStyle="combo" dx="16" fmlaLink="$R$1" fmlaRange="$A$2:$A$55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22</xdr:col>
      <xdr:colOff>294333</xdr:colOff>
      <xdr:row>15</xdr:row>
      <xdr:rowOff>183334</xdr:rowOff>
    </xdr:to>
    <xdr:graphicFrame macro="">
      <xdr:nvGraphicFramePr>
        <xdr:cNvPr id="10" name="Diagramma 9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16</xdr:row>
      <xdr:rowOff>0</xdr:rowOff>
    </xdr:from>
    <xdr:to>
      <xdr:col>22</xdr:col>
      <xdr:colOff>294333</xdr:colOff>
      <xdr:row>30</xdr:row>
      <xdr:rowOff>183333</xdr:rowOff>
    </xdr:to>
    <xdr:graphicFrame macro="">
      <xdr:nvGraphicFramePr>
        <xdr:cNvPr id="11" name="Diagramma 1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1</xdr:row>
      <xdr:rowOff>0</xdr:rowOff>
    </xdr:from>
    <xdr:to>
      <xdr:col>29</xdr:col>
      <xdr:colOff>310965</xdr:colOff>
      <xdr:row>15</xdr:row>
      <xdr:rowOff>183333</xdr:rowOff>
    </xdr:to>
    <xdr:graphicFrame macro="">
      <xdr:nvGraphicFramePr>
        <xdr:cNvPr id="12" name="Diagramma 1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apa1"/>
  <dimension ref="A1:JI61"/>
  <sheetViews>
    <sheetView tabSelected="1" zoomScaleNormal="100" workbookViewId="0">
      <selection activeCell="K7" sqref="K7"/>
    </sheetView>
  </sheetViews>
  <sheetFormatPr defaultColWidth="9.109375" defaultRowHeight="14.4"/>
  <cols>
    <col min="2" max="2" width="10" bestFit="1" customWidth="1"/>
    <col min="3" max="3" width="11.6640625" bestFit="1" customWidth="1"/>
    <col min="4" max="4" width="11.88671875" bestFit="1" customWidth="1"/>
    <col min="5" max="5" width="7.109375" style="8" bestFit="1" customWidth="1"/>
    <col min="6" max="6" width="16.33203125" bestFit="1" customWidth="1"/>
    <col min="7" max="10" width="2.109375" customWidth="1"/>
    <col min="11" max="11" width="15.109375" bestFit="1" customWidth="1"/>
    <col min="12" max="12" width="10.88671875" bestFit="1" customWidth="1"/>
    <col min="13" max="13" width="11" bestFit="1" customWidth="1"/>
    <col min="14" max="14" width="7.33203125" bestFit="1" customWidth="1"/>
    <col min="15" max="15" width="13.33203125" bestFit="1" customWidth="1"/>
  </cols>
  <sheetData>
    <row r="1" spans="1:26">
      <c r="A1" t="s">
        <v>15</v>
      </c>
      <c r="B1" s="1" t="s">
        <v>21</v>
      </c>
      <c r="C1" s="4" t="s">
        <v>17</v>
      </c>
      <c r="D1" s="4" t="s">
        <v>18</v>
      </c>
      <c r="E1" s="9" t="s">
        <v>11</v>
      </c>
      <c r="F1" t="s">
        <v>7</v>
      </c>
      <c r="G1" s="1"/>
      <c r="H1" s="1"/>
      <c r="I1" s="1"/>
      <c r="J1" s="1"/>
      <c r="K1" s="1" t="s">
        <v>1</v>
      </c>
      <c r="L1" s="25">
        <v>2.166018061586771</v>
      </c>
      <c r="M1" s="4" t="s">
        <v>22</v>
      </c>
      <c r="N1" t="s">
        <v>15</v>
      </c>
      <c r="O1" t="s">
        <v>14</v>
      </c>
      <c r="P1" t="s">
        <v>22</v>
      </c>
      <c r="Q1" t="str">
        <f>INDEX(A2:A55,R1)</f>
        <v>FXDE</v>
      </c>
      <c r="R1">
        <v>1</v>
      </c>
      <c r="Z1" s="49"/>
    </row>
    <row r="2" spans="1:26">
      <c r="A2" s="15" t="s">
        <v>27</v>
      </c>
      <c r="B2" s="13" t="s">
        <v>30</v>
      </c>
      <c r="C2" s="18">
        <v>0</v>
      </c>
      <c r="D2" s="18">
        <v>1</v>
      </c>
      <c r="E2" s="20">
        <v>-4.4431672510982168</v>
      </c>
      <c r="F2" s="23">
        <v>0</v>
      </c>
      <c r="G2" s="5"/>
      <c r="H2" s="1"/>
      <c r="I2" s="1"/>
      <c r="J2" s="1"/>
      <c r="K2" t="s">
        <v>16</v>
      </c>
      <c r="L2" s="26">
        <v>0.50748917248497061</v>
      </c>
      <c r="M2" s="3"/>
      <c r="N2" s="27" t="str">
        <f>IFERROR(IF(O2&gt;0,INDEX($A$2:$A$55,MATCH(O2,$F$2:$F$55,0)),""),"")</f>
        <v>GAZP</v>
      </c>
      <c r="O2" s="28">
        <f t="shared" ref="O2:O5" si="0">IFERROR(IF(LARGE($F$2:$F$55,ROW()-1)=0,"",LARGE($F$2:$F$55,ROW()-1)),"")</f>
        <v>0.27935928245394098</v>
      </c>
      <c r="Z2" s="49"/>
    </row>
    <row r="3" spans="1:26">
      <c r="A3" s="15" t="s">
        <v>28</v>
      </c>
      <c r="B3" s="13" t="s">
        <v>31</v>
      </c>
      <c r="C3" s="18">
        <v>0</v>
      </c>
      <c r="D3" s="18">
        <v>1</v>
      </c>
      <c r="E3" s="20">
        <v>-0.14908984748580523</v>
      </c>
      <c r="F3" s="23">
        <v>0</v>
      </c>
      <c r="G3" s="5"/>
      <c r="H3" s="1"/>
      <c r="I3" s="1"/>
      <c r="J3" s="1"/>
      <c r="K3" s="2" t="s">
        <v>8</v>
      </c>
      <c r="L3" s="26">
        <v>0.17500000000000013</v>
      </c>
      <c r="M3" s="3"/>
      <c r="N3" s="29" t="str">
        <f t="shared" ref="N3:N55" si="1">IFERROR(IF(O3&gt;0,INDEX($A$2:$A$55,MATCH(O3,$F$2:$F$55,0)),""),"")</f>
        <v>GOOGL</v>
      </c>
      <c r="O3" s="30">
        <f t="shared" si="0"/>
        <v>0.23913361575231165</v>
      </c>
      <c r="Z3" s="49"/>
    </row>
    <row r="4" spans="1:26">
      <c r="A4" s="15" t="s">
        <v>29</v>
      </c>
      <c r="B4" s="13" t="s">
        <v>32</v>
      </c>
      <c r="C4" s="18">
        <v>0</v>
      </c>
      <c r="D4" s="18">
        <v>1</v>
      </c>
      <c r="E4" s="20">
        <v>1.2351926533663806</v>
      </c>
      <c r="F4" s="23">
        <v>0.27935928245394098</v>
      </c>
      <c r="G4" s="5"/>
      <c r="H4" s="1"/>
      <c r="I4" s="1"/>
      <c r="J4" s="1"/>
      <c r="K4" s="2" t="s">
        <v>5</v>
      </c>
      <c r="L4" s="26">
        <v>0.20874265490934718</v>
      </c>
      <c r="M4" s="3"/>
      <c r="N4" s="29" t="str">
        <f t="shared" si="1"/>
        <v>NVD.DE</v>
      </c>
      <c r="O4" s="30">
        <f t="shared" si="0"/>
        <v>0.22222222222222221</v>
      </c>
      <c r="Z4" s="49"/>
    </row>
    <row r="5" spans="1:26">
      <c r="A5" s="15" t="s">
        <v>20</v>
      </c>
      <c r="B5" s="12" t="s">
        <v>4</v>
      </c>
      <c r="C5" s="18">
        <v>0</v>
      </c>
      <c r="D5" s="18">
        <v>1</v>
      </c>
      <c r="E5" s="20">
        <v>1.570524918290936</v>
      </c>
      <c r="F5" s="22">
        <v>0.22222222222222221</v>
      </c>
      <c r="G5" s="5"/>
      <c r="H5" s="1"/>
      <c r="I5" s="1"/>
      <c r="J5" s="1"/>
      <c r="L5" s="3"/>
      <c r="M5" s="3"/>
      <c r="N5" s="29" t="str">
        <f t="shared" si="1"/>
        <v>A0X8ZS</v>
      </c>
      <c r="O5" s="30">
        <f t="shared" si="0"/>
        <v>0.14622609022503438</v>
      </c>
    </row>
    <row r="6" spans="1:26">
      <c r="A6" s="15" t="s">
        <v>0</v>
      </c>
      <c r="B6" s="12" t="s">
        <v>4</v>
      </c>
      <c r="C6" s="18">
        <v>0</v>
      </c>
      <c r="D6" s="18">
        <v>1</v>
      </c>
      <c r="E6" s="20">
        <v>0.58070514786861094</v>
      </c>
      <c r="F6" s="22">
        <v>0</v>
      </c>
      <c r="G6" s="5"/>
      <c r="H6" s="1"/>
      <c r="I6" s="1"/>
      <c r="J6" s="1"/>
      <c r="K6" s="2"/>
      <c r="L6" s="3"/>
      <c r="M6" s="3"/>
      <c r="N6" s="29" t="str">
        <f t="shared" si="1"/>
        <v>A2JKSP</v>
      </c>
      <c r="O6" s="30">
        <f>IFERROR(IF(LARGE($F$2:$F$55,ROW()-1)=0,"",LARGE($F$2:$F$55,ROW()-1)),"")</f>
        <v>0.11305878934649072</v>
      </c>
    </row>
    <row r="7" spans="1:26">
      <c r="A7" s="15" t="s">
        <v>24</v>
      </c>
      <c r="B7" s="12" t="s">
        <v>4</v>
      </c>
      <c r="C7" s="18">
        <v>0</v>
      </c>
      <c r="D7" s="18">
        <v>1</v>
      </c>
      <c r="E7" s="20">
        <v>1.4586925206552939</v>
      </c>
      <c r="F7" s="22">
        <v>0.23913361575231165</v>
      </c>
      <c r="N7" s="29" t="str">
        <f t="shared" si="1"/>
        <v/>
      </c>
      <c r="O7" s="30" t="str">
        <f t="shared" ref="O7:O55" si="2">IFERROR(IF(LARGE($F$2:$F$55,ROW()-1)=0,"",LARGE($F$2:$F$55,ROW()-1)),"")</f>
        <v/>
      </c>
    </row>
    <row r="8" spans="1:26">
      <c r="A8" s="15" t="s">
        <v>2</v>
      </c>
      <c r="B8" s="13" t="s">
        <v>9</v>
      </c>
      <c r="C8" s="18">
        <v>0</v>
      </c>
      <c r="D8" s="18">
        <v>1</v>
      </c>
      <c r="E8" s="20">
        <v>1.0326494185396711</v>
      </c>
      <c r="F8" s="22">
        <v>0</v>
      </c>
      <c r="N8" s="29" t="str">
        <f t="shared" si="1"/>
        <v/>
      </c>
      <c r="O8" s="30" t="str">
        <f t="shared" si="2"/>
        <v/>
      </c>
    </row>
    <row r="9" spans="1:26">
      <c r="A9" s="15" t="s">
        <v>3</v>
      </c>
      <c r="B9" s="13" t="s">
        <v>10</v>
      </c>
      <c r="C9" s="18">
        <v>0</v>
      </c>
      <c r="D9" s="18">
        <v>1</v>
      </c>
      <c r="E9" s="20">
        <v>0.35626957482364296</v>
      </c>
      <c r="F9" s="22">
        <v>0.11305878934649072</v>
      </c>
      <c r="N9" s="31" t="str">
        <f t="shared" si="1"/>
        <v/>
      </c>
      <c r="O9" s="30" t="str">
        <f t="shared" si="2"/>
        <v/>
      </c>
    </row>
    <row r="10" spans="1:26">
      <c r="A10" s="15" t="s">
        <v>25</v>
      </c>
      <c r="B10" s="13" t="s">
        <v>26</v>
      </c>
      <c r="C10" s="18">
        <v>0</v>
      </c>
      <c r="D10" s="18">
        <v>1</v>
      </c>
      <c r="E10" s="20">
        <v>1.3992466122445502</v>
      </c>
      <c r="F10" s="23">
        <v>0.14622609022503438</v>
      </c>
      <c r="N10" s="31" t="str">
        <f t="shared" si="1"/>
        <v/>
      </c>
      <c r="O10" s="30" t="str">
        <f t="shared" si="2"/>
        <v/>
      </c>
    </row>
    <row r="11" spans="1:26">
      <c r="A11" s="15"/>
      <c r="B11" s="12"/>
      <c r="C11" s="18"/>
      <c r="D11" s="18"/>
      <c r="E11" s="20"/>
      <c r="F11" s="22"/>
      <c r="N11" s="31" t="str">
        <f t="shared" si="1"/>
        <v/>
      </c>
      <c r="O11" s="30" t="str">
        <f t="shared" si="2"/>
        <v/>
      </c>
    </row>
    <row r="12" spans="1:26">
      <c r="A12" s="15"/>
      <c r="B12" s="12"/>
      <c r="C12" s="18"/>
      <c r="D12" s="18"/>
      <c r="E12" s="20"/>
      <c r="F12" s="22"/>
      <c r="N12" s="31" t="str">
        <f t="shared" si="1"/>
        <v/>
      </c>
      <c r="O12" s="30" t="str">
        <f t="shared" si="2"/>
        <v/>
      </c>
    </row>
    <row r="13" spans="1:26">
      <c r="A13" s="15"/>
      <c r="B13" s="12"/>
      <c r="C13" s="18"/>
      <c r="D13" s="18"/>
      <c r="E13" s="20"/>
      <c r="F13" s="22"/>
      <c r="N13" s="31" t="str">
        <f t="shared" si="1"/>
        <v/>
      </c>
      <c r="O13" s="30" t="str">
        <f t="shared" si="2"/>
        <v/>
      </c>
    </row>
    <row r="14" spans="1:26">
      <c r="A14" s="15"/>
      <c r="B14" s="13"/>
      <c r="C14" s="18"/>
      <c r="D14" s="18"/>
      <c r="E14" s="20"/>
      <c r="F14" s="22"/>
      <c r="N14" s="31" t="str">
        <f t="shared" si="1"/>
        <v/>
      </c>
      <c r="O14" s="30" t="str">
        <f t="shared" si="2"/>
        <v/>
      </c>
    </row>
    <row r="15" spans="1:26">
      <c r="A15" s="15"/>
      <c r="B15" s="13"/>
      <c r="C15" s="18"/>
      <c r="D15" s="18"/>
      <c r="E15" s="20"/>
      <c r="F15" s="22"/>
      <c r="N15" s="31" t="str">
        <f t="shared" si="1"/>
        <v/>
      </c>
      <c r="O15" s="30" t="str">
        <f t="shared" si="2"/>
        <v/>
      </c>
    </row>
    <row r="16" spans="1:26">
      <c r="A16" s="15"/>
      <c r="B16" s="13"/>
      <c r="C16" s="18"/>
      <c r="D16" s="18"/>
      <c r="E16" s="20"/>
      <c r="F16" s="23"/>
      <c r="N16" s="31" t="str">
        <f t="shared" si="1"/>
        <v/>
      </c>
      <c r="O16" s="30" t="str">
        <f t="shared" si="2"/>
        <v/>
      </c>
    </row>
    <row r="17" spans="1:15">
      <c r="A17" s="16"/>
      <c r="B17" s="13"/>
      <c r="C17" s="18"/>
      <c r="D17" s="18"/>
      <c r="E17" s="20"/>
      <c r="F17" s="23"/>
      <c r="N17" s="31" t="str">
        <f t="shared" si="1"/>
        <v/>
      </c>
      <c r="O17" s="30" t="str">
        <f t="shared" si="2"/>
        <v/>
      </c>
    </row>
    <row r="18" spans="1:15">
      <c r="A18" s="16"/>
      <c r="B18" s="13"/>
      <c r="C18" s="18"/>
      <c r="D18" s="18"/>
      <c r="E18" s="20"/>
      <c r="F18" s="23"/>
      <c r="N18" s="31" t="str">
        <f t="shared" si="1"/>
        <v/>
      </c>
      <c r="O18" s="30" t="str">
        <f t="shared" si="2"/>
        <v/>
      </c>
    </row>
    <row r="19" spans="1:15">
      <c r="A19" s="16"/>
      <c r="B19" s="13"/>
      <c r="C19" s="18"/>
      <c r="D19" s="18"/>
      <c r="E19" s="20"/>
      <c r="F19" s="23"/>
      <c r="N19" s="31" t="str">
        <f t="shared" si="1"/>
        <v/>
      </c>
      <c r="O19" s="30" t="str">
        <f t="shared" si="2"/>
        <v/>
      </c>
    </row>
    <row r="20" spans="1:15">
      <c r="A20" s="16"/>
      <c r="B20" s="13"/>
      <c r="C20" s="18"/>
      <c r="D20" s="18"/>
      <c r="E20" s="20"/>
      <c r="F20" s="23"/>
      <c r="N20" s="31" t="str">
        <f t="shared" si="1"/>
        <v/>
      </c>
      <c r="O20" s="30" t="str">
        <f t="shared" si="2"/>
        <v/>
      </c>
    </row>
    <row r="21" spans="1:15">
      <c r="A21" s="16"/>
      <c r="B21" s="13"/>
      <c r="C21" s="18"/>
      <c r="D21" s="18"/>
      <c r="E21" s="20"/>
      <c r="F21" s="23"/>
      <c r="N21" s="31" t="str">
        <f t="shared" si="1"/>
        <v/>
      </c>
      <c r="O21" s="30" t="str">
        <f t="shared" si="2"/>
        <v/>
      </c>
    </row>
    <row r="22" spans="1:15">
      <c r="A22" s="16"/>
      <c r="B22" s="13"/>
      <c r="C22" s="18"/>
      <c r="D22" s="18"/>
      <c r="E22" s="20"/>
      <c r="F22" s="23"/>
      <c r="N22" s="31" t="str">
        <f t="shared" si="1"/>
        <v/>
      </c>
      <c r="O22" s="30" t="str">
        <f t="shared" si="2"/>
        <v/>
      </c>
    </row>
    <row r="23" spans="1:15">
      <c r="A23" s="16"/>
      <c r="B23" s="13"/>
      <c r="C23" s="18"/>
      <c r="D23" s="18"/>
      <c r="E23" s="20"/>
      <c r="F23" s="23"/>
      <c r="L23" s="10"/>
      <c r="N23" s="31" t="str">
        <f t="shared" si="1"/>
        <v/>
      </c>
      <c r="O23" s="30" t="str">
        <f t="shared" si="2"/>
        <v/>
      </c>
    </row>
    <row r="24" spans="1:15">
      <c r="A24" s="16"/>
      <c r="B24" s="13"/>
      <c r="C24" s="18"/>
      <c r="D24" s="18"/>
      <c r="E24" s="20"/>
      <c r="F24" s="23"/>
      <c r="K24" s="50"/>
      <c r="L24" s="50"/>
      <c r="N24" s="31" t="str">
        <f t="shared" si="1"/>
        <v/>
      </c>
      <c r="O24" s="30" t="str">
        <f t="shared" si="2"/>
        <v/>
      </c>
    </row>
    <row r="25" spans="1:15">
      <c r="A25" s="16"/>
      <c r="B25" s="13"/>
      <c r="C25" s="18"/>
      <c r="D25" s="18"/>
      <c r="E25" s="20"/>
      <c r="F25" s="23"/>
      <c r="K25" s="51"/>
      <c r="L25" s="52"/>
      <c r="N25" s="31" t="str">
        <f t="shared" si="1"/>
        <v/>
      </c>
      <c r="O25" s="30" t="str">
        <f t="shared" si="2"/>
        <v/>
      </c>
    </row>
    <row r="26" spans="1:15">
      <c r="A26" s="16"/>
      <c r="B26" s="13"/>
      <c r="C26" s="18"/>
      <c r="D26" s="18"/>
      <c r="E26" s="20"/>
      <c r="F26" s="23"/>
      <c r="K26" s="50"/>
      <c r="L26" s="51"/>
      <c r="N26" s="31" t="str">
        <f t="shared" si="1"/>
        <v/>
      </c>
      <c r="O26" s="30" t="str">
        <f t="shared" si="2"/>
        <v/>
      </c>
    </row>
    <row r="27" spans="1:15">
      <c r="A27" s="16"/>
      <c r="B27" s="13"/>
      <c r="C27" s="18"/>
      <c r="D27" s="18"/>
      <c r="E27" s="20"/>
      <c r="F27" s="23"/>
      <c r="K27" s="53"/>
      <c r="L27" s="51"/>
      <c r="N27" s="31" t="str">
        <f t="shared" si="1"/>
        <v/>
      </c>
      <c r="O27" s="30" t="str">
        <f t="shared" si="2"/>
        <v/>
      </c>
    </row>
    <row r="28" spans="1:15">
      <c r="A28" s="16"/>
      <c r="B28" s="13"/>
      <c r="C28" s="18"/>
      <c r="D28" s="18"/>
      <c r="E28" s="20"/>
      <c r="F28" s="23"/>
      <c r="K28" s="53"/>
      <c r="L28" s="51"/>
      <c r="N28" s="31" t="str">
        <f t="shared" si="1"/>
        <v/>
      </c>
      <c r="O28" s="30" t="str">
        <f t="shared" si="2"/>
        <v/>
      </c>
    </row>
    <row r="29" spans="1:15">
      <c r="A29" s="16"/>
      <c r="B29" s="13"/>
      <c r="C29" s="18"/>
      <c r="D29" s="18"/>
      <c r="E29" s="20"/>
      <c r="F29" s="23"/>
      <c r="K29" s="50"/>
      <c r="L29" s="50"/>
      <c r="N29" s="31" t="str">
        <f t="shared" si="1"/>
        <v/>
      </c>
      <c r="O29" s="30" t="str">
        <f t="shared" si="2"/>
        <v/>
      </c>
    </row>
    <row r="30" spans="1:15">
      <c r="A30" s="16"/>
      <c r="B30" s="13"/>
      <c r="C30" s="18"/>
      <c r="D30" s="18"/>
      <c r="E30" s="20"/>
      <c r="F30" s="23"/>
      <c r="K30" s="50"/>
      <c r="L30" s="54"/>
      <c r="N30" s="31" t="str">
        <f t="shared" si="1"/>
        <v/>
      </c>
      <c r="O30" s="30" t="str">
        <f t="shared" si="2"/>
        <v/>
      </c>
    </row>
    <row r="31" spans="1:15">
      <c r="A31" s="16"/>
      <c r="B31" s="13"/>
      <c r="C31" s="18"/>
      <c r="D31" s="18"/>
      <c r="E31" s="20"/>
      <c r="F31" s="23"/>
      <c r="K31" s="50"/>
      <c r="L31" s="53"/>
      <c r="N31" s="31" t="str">
        <f t="shared" si="1"/>
        <v/>
      </c>
      <c r="O31" s="30" t="str">
        <f t="shared" si="2"/>
        <v/>
      </c>
    </row>
    <row r="32" spans="1:15">
      <c r="A32" s="16"/>
      <c r="B32" s="13"/>
      <c r="C32" s="18"/>
      <c r="D32" s="18"/>
      <c r="E32" s="20"/>
      <c r="F32" s="23"/>
      <c r="K32" s="50"/>
      <c r="L32" s="53"/>
      <c r="N32" s="31" t="str">
        <f t="shared" si="1"/>
        <v/>
      </c>
      <c r="O32" s="30" t="str">
        <f t="shared" si="2"/>
        <v/>
      </c>
    </row>
    <row r="33" spans="1:15">
      <c r="A33" s="16"/>
      <c r="B33" s="13"/>
      <c r="C33" s="18"/>
      <c r="D33" s="18"/>
      <c r="E33" s="20"/>
      <c r="F33" s="23"/>
      <c r="K33" s="50"/>
      <c r="L33" s="53"/>
      <c r="N33" s="31" t="str">
        <f t="shared" si="1"/>
        <v/>
      </c>
      <c r="O33" s="30" t="str">
        <f t="shared" si="2"/>
        <v/>
      </c>
    </row>
    <row r="34" spans="1:15">
      <c r="A34" s="16"/>
      <c r="B34" s="13"/>
      <c r="C34" s="18"/>
      <c r="D34" s="18"/>
      <c r="E34" s="20"/>
      <c r="F34" s="23"/>
      <c r="K34" s="50"/>
      <c r="L34" s="53"/>
      <c r="N34" s="31" t="str">
        <f t="shared" si="1"/>
        <v/>
      </c>
      <c r="O34" s="30" t="str">
        <f t="shared" si="2"/>
        <v/>
      </c>
    </row>
    <row r="35" spans="1:15">
      <c r="A35" s="16"/>
      <c r="B35" s="13"/>
      <c r="C35" s="18"/>
      <c r="D35" s="18"/>
      <c r="E35" s="20"/>
      <c r="F35" s="23"/>
      <c r="K35" s="50"/>
      <c r="L35" s="53"/>
      <c r="N35" s="31" t="str">
        <f t="shared" si="1"/>
        <v/>
      </c>
      <c r="O35" s="30" t="str">
        <f t="shared" si="2"/>
        <v/>
      </c>
    </row>
    <row r="36" spans="1:15">
      <c r="A36" s="16"/>
      <c r="B36" s="13"/>
      <c r="C36" s="18"/>
      <c r="D36" s="18"/>
      <c r="E36" s="20"/>
      <c r="F36" s="23"/>
      <c r="K36" s="50"/>
      <c r="L36" s="53"/>
      <c r="N36" s="31" t="str">
        <f t="shared" si="1"/>
        <v/>
      </c>
      <c r="O36" s="30" t="str">
        <f t="shared" si="2"/>
        <v/>
      </c>
    </row>
    <row r="37" spans="1:15">
      <c r="A37" s="16"/>
      <c r="B37" s="13"/>
      <c r="C37" s="18"/>
      <c r="D37" s="18"/>
      <c r="E37" s="20"/>
      <c r="F37" s="23"/>
      <c r="K37" s="50"/>
      <c r="L37" s="53"/>
      <c r="N37" s="31" t="str">
        <f t="shared" si="1"/>
        <v/>
      </c>
      <c r="O37" s="30" t="str">
        <f t="shared" si="2"/>
        <v/>
      </c>
    </row>
    <row r="38" spans="1:15">
      <c r="A38" s="16"/>
      <c r="B38" s="13"/>
      <c r="C38" s="18"/>
      <c r="D38" s="18"/>
      <c r="E38" s="20"/>
      <c r="F38" s="23"/>
      <c r="K38" s="50"/>
      <c r="L38" s="53"/>
      <c r="N38" s="31" t="str">
        <f t="shared" si="1"/>
        <v/>
      </c>
      <c r="O38" s="30" t="str">
        <f t="shared" si="2"/>
        <v/>
      </c>
    </row>
    <row r="39" spans="1:15">
      <c r="A39" s="16"/>
      <c r="B39" s="13"/>
      <c r="C39" s="18"/>
      <c r="D39" s="18"/>
      <c r="E39" s="20"/>
      <c r="F39" s="23"/>
      <c r="N39" s="31" t="str">
        <f t="shared" si="1"/>
        <v/>
      </c>
      <c r="O39" s="30" t="str">
        <f t="shared" si="2"/>
        <v/>
      </c>
    </row>
    <row r="40" spans="1:15">
      <c r="A40" s="16"/>
      <c r="B40" s="13"/>
      <c r="C40" s="18"/>
      <c r="D40" s="18"/>
      <c r="E40" s="20"/>
      <c r="F40" s="23"/>
      <c r="N40" s="31" t="str">
        <f t="shared" si="1"/>
        <v/>
      </c>
      <c r="O40" s="30" t="str">
        <f t="shared" si="2"/>
        <v/>
      </c>
    </row>
    <row r="41" spans="1:15">
      <c r="A41" s="16"/>
      <c r="B41" s="13"/>
      <c r="C41" s="18"/>
      <c r="D41" s="18"/>
      <c r="E41" s="20"/>
      <c r="F41" s="23"/>
      <c r="N41" s="31" t="str">
        <f t="shared" si="1"/>
        <v/>
      </c>
      <c r="O41" s="30" t="str">
        <f t="shared" si="2"/>
        <v/>
      </c>
    </row>
    <row r="42" spans="1:15">
      <c r="A42" s="16"/>
      <c r="B42" s="13"/>
      <c r="C42" s="18"/>
      <c r="D42" s="18"/>
      <c r="E42" s="20"/>
      <c r="F42" s="23"/>
      <c r="N42" s="31" t="str">
        <f t="shared" si="1"/>
        <v/>
      </c>
      <c r="O42" s="30" t="str">
        <f t="shared" si="2"/>
        <v/>
      </c>
    </row>
    <row r="43" spans="1:15">
      <c r="A43" s="16"/>
      <c r="B43" s="13"/>
      <c r="C43" s="18"/>
      <c r="D43" s="18"/>
      <c r="E43" s="20"/>
      <c r="F43" s="23"/>
      <c r="N43" s="31" t="str">
        <f t="shared" si="1"/>
        <v/>
      </c>
      <c r="O43" s="30" t="str">
        <f t="shared" si="2"/>
        <v/>
      </c>
    </row>
    <row r="44" spans="1:15">
      <c r="A44" s="16"/>
      <c r="B44" s="13"/>
      <c r="C44" s="18"/>
      <c r="D44" s="18"/>
      <c r="E44" s="20"/>
      <c r="F44" s="23"/>
      <c r="N44" s="31" t="str">
        <f t="shared" si="1"/>
        <v/>
      </c>
      <c r="O44" s="30" t="str">
        <f t="shared" si="2"/>
        <v/>
      </c>
    </row>
    <row r="45" spans="1:15">
      <c r="A45" s="16"/>
      <c r="B45" s="13"/>
      <c r="C45" s="18"/>
      <c r="D45" s="18"/>
      <c r="E45" s="20"/>
      <c r="F45" s="23"/>
      <c r="N45" s="31" t="str">
        <f t="shared" si="1"/>
        <v/>
      </c>
      <c r="O45" s="30" t="str">
        <f t="shared" si="2"/>
        <v/>
      </c>
    </row>
    <row r="46" spans="1:15">
      <c r="A46" s="16"/>
      <c r="B46" s="13"/>
      <c r="C46" s="18"/>
      <c r="D46" s="18"/>
      <c r="E46" s="20"/>
      <c r="F46" s="23"/>
      <c r="N46" s="31" t="str">
        <f t="shared" si="1"/>
        <v/>
      </c>
      <c r="O46" s="30" t="str">
        <f t="shared" si="2"/>
        <v/>
      </c>
    </row>
    <row r="47" spans="1:15">
      <c r="A47" s="16"/>
      <c r="B47" s="13"/>
      <c r="C47" s="18"/>
      <c r="D47" s="18"/>
      <c r="E47" s="20"/>
      <c r="F47" s="23"/>
      <c r="N47" s="31" t="str">
        <f t="shared" si="1"/>
        <v/>
      </c>
      <c r="O47" s="30" t="str">
        <f t="shared" si="2"/>
        <v/>
      </c>
    </row>
    <row r="48" spans="1:15">
      <c r="A48" s="16"/>
      <c r="B48" s="13"/>
      <c r="C48" s="18"/>
      <c r="D48" s="18"/>
      <c r="E48" s="20"/>
      <c r="F48" s="23"/>
      <c r="N48" s="31" t="str">
        <f t="shared" si="1"/>
        <v/>
      </c>
      <c r="O48" s="30" t="str">
        <f t="shared" si="2"/>
        <v/>
      </c>
    </row>
    <row r="49" spans="1:269">
      <c r="A49" s="16"/>
      <c r="B49" s="13"/>
      <c r="C49" s="18"/>
      <c r="D49" s="18"/>
      <c r="E49" s="20"/>
      <c r="F49" s="23"/>
      <c r="N49" s="31" t="str">
        <f t="shared" si="1"/>
        <v/>
      </c>
      <c r="O49" s="30" t="str">
        <f t="shared" si="2"/>
        <v/>
      </c>
    </row>
    <row r="50" spans="1:269">
      <c r="A50" s="16"/>
      <c r="B50" s="13"/>
      <c r="C50" s="18"/>
      <c r="D50" s="18"/>
      <c r="E50" s="20"/>
      <c r="F50" s="23"/>
      <c r="N50" s="31" t="str">
        <f t="shared" si="1"/>
        <v/>
      </c>
      <c r="O50" s="30" t="str">
        <f t="shared" si="2"/>
        <v/>
      </c>
    </row>
    <row r="51" spans="1:269">
      <c r="A51" s="16"/>
      <c r="B51" s="13"/>
      <c r="C51" s="18"/>
      <c r="D51" s="18"/>
      <c r="E51" s="20"/>
      <c r="F51" s="23"/>
      <c r="N51" s="31" t="str">
        <f t="shared" si="1"/>
        <v/>
      </c>
      <c r="O51" s="30" t="str">
        <f t="shared" si="2"/>
        <v/>
      </c>
    </row>
    <row r="52" spans="1:269">
      <c r="A52" s="16"/>
      <c r="B52" s="13"/>
      <c r="C52" s="18"/>
      <c r="D52" s="18"/>
      <c r="E52" s="20"/>
      <c r="F52" s="23"/>
      <c r="N52" s="31" t="str">
        <f t="shared" si="1"/>
        <v/>
      </c>
      <c r="O52" s="30" t="str">
        <f t="shared" si="2"/>
        <v/>
      </c>
    </row>
    <row r="53" spans="1:269">
      <c r="A53" s="16"/>
      <c r="B53" s="13"/>
      <c r="C53" s="18"/>
      <c r="D53" s="18"/>
      <c r="E53" s="20"/>
      <c r="F53" s="23"/>
      <c r="N53" s="31" t="str">
        <f t="shared" si="1"/>
        <v/>
      </c>
      <c r="O53" s="30" t="str">
        <f t="shared" si="2"/>
        <v/>
      </c>
    </row>
    <row r="54" spans="1:269">
      <c r="A54" s="16"/>
      <c r="B54" s="13"/>
      <c r="C54" s="18"/>
      <c r="D54" s="18"/>
      <c r="E54" s="20"/>
      <c r="F54" s="23"/>
      <c r="N54" s="31" t="str">
        <f t="shared" si="1"/>
        <v/>
      </c>
      <c r="O54" s="30" t="str">
        <f t="shared" si="2"/>
        <v/>
      </c>
    </row>
    <row r="55" spans="1:269">
      <c r="A55" s="17"/>
      <c r="B55" s="14"/>
      <c r="C55" s="19"/>
      <c r="D55" s="19"/>
      <c r="E55" s="21"/>
      <c r="F55" s="24"/>
      <c r="N55" s="32" t="str">
        <f t="shared" si="1"/>
        <v/>
      </c>
      <c r="O55" s="33" t="str">
        <f t="shared" si="2"/>
        <v/>
      </c>
    </row>
    <row r="58" spans="1:269">
      <c r="A58" s="11" t="s">
        <v>22</v>
      </c>
      <c r="B58" s="6">
        <f>IF('Time series'!B1=0,NA(),'Time series'!B1)</f>
        <v>44218</v>
      </c>
      <c r="C58" s="6">
        <f>IF('Time series'!C1=0,NA(),'Time series'!C1)</f>
        <v>44221</v>
      </c>
      <c r="D58" s="6">
        <f>IF('Time series'!D1=0,NA(),'Time series'!D1)</f>
        <v>44222</v>
      </c>
      <c r="E58" s="6">
        <f>IF('Time series'!E1=0,NA(),'Time series'!E1)</f>
        <v>44223</v>
      </c>
      <c r="F58" s="6">
        <f>IF('Time series'!F1=0,NA(),'Time series'!F1)</f>
        <v>44224</v>
      </c>
      <c r="G58" s="6">
        <f>IF('Time series'!G1=0,NA(),'Time series'!G1)</f>
        <v>44225</v>
      </c>
      <c r="H58" s="6">
        <f>IF('Time series'!H1=0,NA(),'Time series'!H1)</f>
        <v>44228</v>
      </c>
      <c r="I58" s="6">
        <f>IF('Time series'!I1=0,NA(),'Time series'!I1)</f>
        <v>44229</v>
      </c>
      <c r="J58" s="6">
        <f>IF('Time series'!J1=0,NA(),'Time series'!J1)</f>
        <v>44230</v>
      </c>
      <c r="K58" s="6">
        <f>IF('Time series'!K1=0,NA(),'Time series'!K1)</f>
        <v>44231</v>
      </c>
      <c r="L58" s="6">
        <f>IF('Time series'!L1=0,NA(),'Time series'!L1)</f>
        <v>44232</v>
      </c>
      <c r="M58" s="6">
        <f>IF('Time series'!M1=0,NA(),'Time series'!M1)</f>
        <v>44235</v>
      </c>
      <c r="N58" s="6">
        <f>IF('Time series'!N1=0,NA(),'Time series'!N1)</f>
        <v>44236</v>
      </c>
      <c r="O58" s="6">
        <f>IF('Time series'!O1=0,NA(),'Time series'!O1)</f>
        <v>44237</v>
      </c>
      <c r="P58" s="6">
        <f>IF('Time series'!P1=0,NA(),'Time series'!P1)</f>
        <v>44238</v>
      </c>
      <c r="Q58" s="6">
        <f>IF('Time series'!Q1=0,NA(),'Time series'!Q1)</f>
        <v>44239</v>
      </c>
      <c r="R58" s="6">
        <f>IF('Time series'!R1=0,NA(),'Time series'!R1)</f>
        <v>44243</v>
      </c>
      <c r="S58" s="6">
        <f>IF('Time series'!S1=0,NA(),'Time series'!S1)</f>
        <v>44244</v>
      </c>
      <c r="T58" s="6">
        <f>IF('Time series'!T1=0,NA(),'Time series'!T1)</f>
        <v>44245</v>
      </c>
      <c r="U58" s="6">
        <f>IF('Time series'!U1=0,NA(),'Time series'!U1)</f>
        <v>44246</v>
      </c>
      <c r="V58" s="6">
        <f>IF('Time series'!V1=0,NA(),'Time series'!V1)</f>
        <v>44249</v>
      </c>
      <c r="W58" s="6">
        <f>IF('Time series'!W1=0,NA(),'Time series'!W1)</f>
        <v>44251</v>
      </c>
      <c r="X58" s="6">
        <f>IF('Time series'!X1=0,NA(),'Time series'!X1)</f>
        <v>44252</v>
      </c>
      <c r="Y58" s="6">
        <f>IF('Time series'!Y1=0,NA(),'Time series'!Y1)</f>
        <v>44253</v>
      </c>
      <c r="Z58" s="6">
        <f>IF('Time series'!Z1=0,NA(),'Time series'!Z1)</f>
        <v>44256</v>
      </c>
      <c r="AA58" s="6">
        <f>IF('Time series'!AA1=0,NA(),'Time series'!AA1)</f>
        <v>44257</v>
      </c>
      <c r="AB58" s="6">
        <f>IF('Time series'!AB1=0,NA(),'Time series'!AB1)</f>
        <v>44258</v>
      </c>
      <c r="AC58" s="6">
        <f>IF('Time series'!AC1=0,NA(),'Time series'!AC1)</f>
        <v>44259</v>
      </c>
      <c r="AD58" s="6">
        <f>IF('Time series'!AD1=0,NA(),'Time series'!AD1)</f>
        <v>44260</v>
      </c>
      <c r="AE58" s="6">
        <f>IF('Time series'!AE1=0,NA(),'Time series'!AE1)</f>
        <v>44264</v>
      </c>
      <c r="AF58" s="6">
        <f>IF('Time series'!AF1=0,NA(),'Time series'!AF1)</f>
        <v>44265</v>
      </c>
      <c r="AG58" s="6">
        <f>IF('Time series'!AG1=0,NA(),'Time series'!AG1)</f>
        <v>44266</v>
      </c>
      <c r="AH58" s="6">
        <f>IF('Time series'!AH1=0,NA(),'Time series'!AH1)</f>
        <v>44267</v>
      </c>
      <c r="AI58" s="6">
        <f>IF('Time series'!AI1=0,NA(),'Time series'!AI1)</f>
        <v>44270</v>
      </c>
      <c r="AJ58" s="6">
        <f>IF('Time series'!AJ1=0,NA(),'Time series'!AJ1)</f>
        <v>44271</v>
      </c>
      <c r="AK58" s="6">
        <f>IF('Time series'!AK1=0,NA(),'Time series'!AK1)</f>
        <v>44272</v>
      </c>
      <c r="AL58" s="6">
        <f>IF('Time series'!AL1=0,NA(),'Time series'!AL1)</f>
        <v>44273</v>
      </c>
      <c r="AM58" s="6">
        <f>IF('Time series'!AM1=0,NA(),'Time series'!AM1)</f>
        <v>44274</v>
      </c>
      <c r="AN58" s="6">
        <f>IF('Time series'!AN1=0,NA(),'Time series'!AN1)</f>
        <v>44277</v>
      </c>
      <c r="AO58" s="6">
        <f>IF('Time series'!AO1=0,NA(),'Time series'!AO1)</f>
        <v>44278</v>
      </c>
      <c r="AP58" s="6">
        <f>IF('Time series'!AP1=0,NA(),'Time series'!AP1)</f>
        <v>44279</v>
      </c>
      <c r="AQ58" s="6">
        <f>IF('Time series'!AQ1=0,NA(),'Time series'!AQ1)</f>
        <v>44280</v>
      </c>
      <c r="AR58" s="6">
        <f>IF('Time series'!AR1=0,NA(),'Time series'!AR1)</f>
        <v>44281</v>
      </c>
      <c r="AS58" s="6">
        <f>IF('Time series'!AS1=0,NA(),'Time series'!AS1)</f>
        <v>44284</v>
      </c>
      <c r="AT58" s="6">
        <f>IF('Time series'!AT1=0,NA(),'Time series'!AT1)</f>
        <v>44285</v>
      </c>
      <c r="AU58" s="6">
        <f>IF('Time series'!AU1=0,NA(),'Time series'!AU1)</f>
        <v>44286</v>
      </c>
      <c r="AV58" s="6">
        <f>IF('Time series'!AV1=0,NA(),'Time series'!AV1)</f>
        <v>44287</v>
      </c>
      <c r="AW58" s="6">
        <f>IF('Time series'!AW1=0,NA(),'Time series'!AW1)</f>
        <v>44292</v>
      </c>
      <c r="AX58" s="6">
        <f>IF('Time series'!AX1=0,NA(),'Time series'!AX1)</f>
        <v>44293</v>
      </c>
      <c r="AY58" s="6">
        <f>IF('Time series'!AY1=0,NA(),'Time series'!AY1)</f>
        <v>44294</v>
      </c>
      <c r="AZ58" s="6">
        <f>IF('Time series'!AZ1=0,NA(),'Time series'!AZ1)</f>
        <v>44295</v>
      </c>
      <c r="BA58" s="6">
        <f>IF('Time series'!BA1=0,NA(),'Time series'!BA1)</f>
        <v>44298</v>
      </c>
      <c r="BB58" s="6">
        <f>IF('Time series'!BB1=0,NA(),'Time series'!BB1)</f>
        <v>44299</v>
      </c>
      <c r="BC58" s="6">
        <f>IF('Time series'!BC1=0,NA(),'Time series'!BC1)</f>
        <v>44300</v>
      </c>
      <c r="BD58" s="6">
        <f>IF('Time series'!BD1=0,NA(),'Time series'!BD1)</f>
        <v>44301</v>
      </c>
      <c r="BE58" s="6">
        <f>IF('Time series'!BE1=0,NA(),'Time series'!BE1)</f>
        <v>44302</v>
      </c>
      <c r="BF58" s="6">
        <f>IF('Time series'!BF1=0,NA(),'Time series'!BF1)</f>
        <v>44305</v>
      </c>
      <c r="BG58" s="6">
        <f>IF('Time series'!BG1=0,NA(),'Time series'!BG1)</f>
        <v>44306</v>
      </c>
      <c r="BH58" s="6">
        <f>IF('Time series'!BH1=0,NA(),'Time series'!BH1)</f>
        <v>44307</v>
      </c>
      <c r="BI58" s="6">
        <f>IF('Time series'!BI1=0,NA(),'Time series'!BI1)</f>
        <v>44308</v>
      </c>
      <c r="BJ58" s="6">
        <f>IF('Time series'!BJ1=0,NA(),'Time series'!BJ1)</f>
        <v>44309</v>
      </c>
      <c r="BK58" s="6">
        <f>IF('Time series'!BK1=0,NA(),'Time series'!BK1)</f>
        <v>44312</v>
      </c>
      <c r="BL58" s="6">
        <f>IF('Time series'!BL1=0,NA(),'Time series'!BL1)</f>
        <v>44313</v>
      </c>
      <c r="BM58" s="6">
        <f>IF('Time series'!BM1=0,NA(),'Time series'!BM1)</f>
        <v>44314</v>
      </c>
      <c r="BN58" s="6">
        <f>IF('Time series'!BN1=0,NA(),'Time series'!BN1)</f>
        <v>44315</v>
      </c>
      <c r="BO58" s="6">
        <f>IF('Time series'!BO1=0,NA(),'Time series'!BO1)</f>
        <v>44316</v>
      </c>
      <c r="BP58" s="6">
        <f>IF('Time series'!BP1=0,NA(),'Time series'!BP1)</f>
        <v>44320</v>
      </c>
      <c r="BQ58" s="6">
        <f>IF('Time series'!BQ1=0,NA(),'Time series'!BQ1)</f>
        <v>44321</v>
      </c>
      <c r="BR58" s="6">
        <f>IF('Time series'!BR1=0,NA(),'Time series'!BR1)</f>
        <v>44322</v>
      </c>
      <c r="BS58" s="6">
        <f>IF('Time series'!BS1=0,NA(),'Time series'!BS1)</f>
        <v>44323</v>
      </c>
      <c r="BT58" s="6">
        <f>IF('Time series'!BT1=0,NA(),'Time series'!BT1)</f>
        <v>44326</v>
      </c>
      <c r="BU58" s="6">
        <f>IF('Time series'!BU1=0,NA(),'Time series'!BU1)</f>
        <v>44327</v>
      </c>
      <c r="BV58" s="6">
        <f>IF('Time series'!BV1=0,NA(),'Time series'!BV1)</f>
        <v>44328</v>
      </c>
      <c r="BW58" s="6">
        <f>IF('Time series'!BW1=0,NA(),'Time series'!BW1)</f>
        <v>44330</v>
      </c>
      <c r="BX58" s="6">
        <f>IF('Time series'!BX1=0,NA(),'Time series'!BX1)</f>
        <v>44333</v>
      </c>
      <c r="BY58" s="6">
        <f>IF('Time series'!BY1=0,NA(),'Time series'!BY1)</f>
        <v>44334</v>
      </c>
      <c r="BZ58" s="6">
        <f>IF('Time series'!BZ1=0,NA(),'Time series'!BZ1)</f>
        <v>44335</v>
      </c>
      <c r="CA58" s="6">
        <f>IF('Time series'!CA1=0,NA(),'Time series'!CA1)</f>
        <v>44336</v>
      </c>
      <c r="CB58" s="6">
        <f>IF('Time series'!CB1=0,NA(),'Time series'!CB1)</f>
        <v>44337</v>
      </c>
      <c r="CC58" s="6">
        <f>IF('Time series'!CC1=0,NA(),'Time series'!CC1)</f>
        <v>44341</v>
      </c>
      <c r="CD58" s="6">
        <f>IF('Time series'!CD1=0,NA(),'Time series'!CD1)</f>
        <v>44342</v>
      </c>
      <c r="CE58" s="6">
        <f>IF('Time series'!CE1=0,NA(),'Time series'!CE1)</f>
        <v>44343</v>
      </c>
      <c r="CF58" s="6">
        <f>IF('Time series'!CF1=0,NA(),'Time series'!CF1)</f>
        <v>44344</v>
      </c>
      <c r="CG58" s="6">
        <f>IF('Time series'!CG1=0,NA(),'Time series'!CG1)</f>
        <v>44348</v>
      </c>
      <c r="CH58" s="6">
        <f>IF('Time series'!CH1=0,NA(),'Time series'!CH1)</f>
        <v>44349</v>
      </c>
      <c r="CI58" s="6">
        <f>IF('Time series'!CI1=0,NA(),'Time series'!CI1)</f>
        <v>44350</v>
      </c>
      <c r="CJ58" s="6">
        <f>IF('Time series'!CJ1=0,NA(),'Time series'!CJ1)</f>
        <v>44351</v>
      </c>
      <c r="CK58" s="6">
        <f>IF('Time series'!CK1=0,NA(),'Time series'!CK1)</f>
        <v>44354</v>
      </c>
      <c r="CL58" s="6">
        <f>IF('Time series'!CL1=0,NA(),'Time series'!CL1)</f>
        <v>44355</v>
      </c>
      <c r="CM58" s="6">
        <f>IF('Time series'!CM1=0,NA(),'Time series'!CM1)</f>
        <v>44356</v>
      </c>
      <c r="CN58" s="6">
        <f>IF('Time series'!CN1=0,NA(),'Time series'!CN1)</f>
        <v>44357</v>
      </c>
      <c r="CO58" s="6">
        <f>IF('Time series'!CO1=0,NA(),'Time series'!CO1)</f>
        <v>44358</v>
      </c>
      <c r="CP58" s="6">
        <f>IF('Time series'!CP1=0,NA(),'Time series'!CP1)</f>
        <v>44361</v>
      </c>
      <c r="CQ58" s="6">
        <f>IF('Time series'!CQ1=0,NA(),'Time series'!CQ1)</f>
        <v>44362</v>
      </c>
      <c r="CR58" s="6">
        <f>IF('Time series'!CR1=0,NA(),'Time series'!CR1)</f>
        <v>44363</v>
      </c>
      <c r="CS58" s="6">
        <f>IF('Time series'!CS1=0,NA(),'Time series'!CS1)</f>
        <v>44364</v>
      </c>
      <c r="CT58" s="6">
        <f>IF('Time series'!CT1=0,NA(),'Time series'!CT1)</f>
        <v>44365</v>
      </c>
      <c r="CU58" s="6">
        <f>IF('Time series'!CU1=0,NA(),'Time series'!CU1)</f>
        <v>44368</v>
      </c>
      <c r="CV58" s="6">
        <f>IF('Time series'!CV1=0,NA(),'Time series'!CV1)</f>
        <v>44369</v>
      </c>
      <c r="CW58" s="6">
        <f>IF('Time series'!CW1=0,NA(),'Time series'!CW1)</f>
        <v>44371</v>
      </c>
      <c r="CX58" s="6">
        <f>IF('Time series'!CX1=0,NA(),'Time series'!CX1)</f>
        <v>44372</v>
      </c>
      <c r="CY58" s="6">
        <f>IF('Time series'!CY1=0,NA(),'Time series'!CY1)</f>
        <v>44375</v>
      </c>
      <c r="CZ58" s="6">
        <f>IF('Time series'!CZ1=0,NA(),'Time series'!CZ1)</f>
        <v>44376</v>
      </c>
      <c r="DA58" s="6">
        <f>IF('Time series'!DA1=0,NA(),'Time series'!DA1)</f>
        <v>44377</v>
      </c>
      <c r="DB58" s="6">
        <f>IF('Time series'!DB1=0,NA(),'Time series'!DB1)</f>
        <v>44378</v>
      </c>
      <c r="DC58" s="6">
        <f>IF('Time series'!DC1=0,NA(),'Time series'!DC1)</f>
        <v>44379</v>
      </c>
      <c r="DD58" s="6">
        <f>IF('Time series'!DD1=0,NA(),'Time series'!DD1)</f>
        <v>44383</v>
      </c>
      <c r="DE58" s="6">
        <f>IF('Time series'!DE1=0,NA(),'Time series'!DE1)</f>
        <v>44384</v>
      </c>
      <c r="DF58" s="6">
        <f>IF('Time series'!DF1=0,NA(),'Time series'!DF1)</f>
        <v>44385</v>
      </c>
      <c r="DG58" s="6">
        <f>IF('Time series'!DG1=0,NA(),'Time series'!DG1)</f>
        <v>44386</v>
      </c>
      <c r="DH58" s="6">
        <f>IF('Time series'!DH1=0,NA(),'Time series'!DH1)</f>
        <v>44389</v>
      </c>
      <c r="DI58" s="6">
        <f>IF('Time series'!DI1=0,NA(),'Time series'!DI1)</f>
        <v>44390</v>
      </c>
      <c r="DJ58" s="6">
        <f>IF('Time series'!DJ1=0,NA(),'Time series'!DJ1)</f>
        <v>44391</v>
      </c>
      <c r="DK58" s="6">
        <f>IF('Time series'!DK1=0,NA(),'Time series'!DK1)</f>
        <v>44393</v>
      </c>
      <c r="DL58" s="6">
        <f>IF('Time series'!DL1=0,NA(),'Time series'!DL1)</f>
        <v>44396</v>
      </c>
      <c r="DM58" s="6">
        <f>IF('Time series'!DM1=0,NA(),'Time series'!DM1)</f>
        <v>44397</v>
      </c>
      <c r="DN58" s="6">
        <f>IF('Time series'!DN1=0,NA(),'Time series'!DN1)</f>
        <v>44398</v>
      </c>
      <c r="DO58" s="6">
        <f>IF('Time series'!DO1=0,NA(),'Time series'!DO1)</f>
        <v>44399</v>
      </c>
      <c r="DP58" s="6">
        <f>IF('Time series'!DP1=0,NA(),'Time series'!DP1)</f>
        <v>44400</v>
      </c>
      <c r="DQ58" s="6">
        <f>IF('Time series'!DQ1=0,NA(),'Time series'!DQ1)</f>
        <v>44403</v>
      </c>
      <c r="DR58" s="6">
        <f>IF('Time series'!DR1=0,NA(),'Time series'!DR1)</f>
        <v>44404</v>
      </c>
      <c r="DS58" s="6">
        <f>IF('Time series'!DS1=0,NA(),'Time series'!DS1)</f>
        <v>44405</v>
      </c>
      <c r="DT58" s="6">
        <f>IF('Time series'!DT1=0,NA(),'Time series'!DT1)</f>
        <v>44406</v>
      </c>
      <c r="DU58" s="6">
        <f>IF('Time series'!DU1=0,NA(),'Time series'!DU1)</f>
        <v>44407</v>
      </c>
      <c r="DV58" s="6">
        <f>IF('Time series'!DV1=0,NA(),'Time series'!DV1)</f>
        <v>44410</v>
      </c>
      <c r="DW58" s="6">
        <f>IF('Time series'!DW1=0,NA(),'Time series'!DW1)</f>
        <v>44411</v>
      </c>
      <c r="DX58" s="6">
        <f>IF('Time series'!DX1=0,NA(),'Time series'!DX1)</f>
        <v>44412</v>
      </c>
      <c r="DY58" s="6">
        <f>IF('Time series'!DY1=0,NA(),'Time series'!DY1)</f>
        <v>44413</v>
      </c>
      <c r="DZ58" s="6">
        <f>IF('Time series'!DZ1=0,NA(),'Time series'!DZ1)</f>
        <v>44414</v>
      </c>
      <c r="EA58" s="6">
        <f>IF('Time series'!EA1=0,NA(),'Time series'!EA1)</f>
        <v>44417</v>
      </c>
      <c r="EB58" s="6">
        <f>IF('Time series'!EB1=0,NA(),'Time series'!EB1)</f>
        <v>44418</v>
      </c>
      <c r="EC58" s="6">
        <f>IF('Time series'!EC1=0,NA(),'Time series'!EC1)</f>
        <v>44419</v>
      </c>
      <c r="ED58" s="6">
        <f>IF('Time series'!ED1=0,NA(),'Time series'!ED1)</f>
        <v>44420</v>
      </c>
      <c r="EE58" s="6">
        <f>IF('Time series'!EE1=0,NA(),'Time series'!EE1)</f>
        <v>44421</v>
      </c>
      <c r="EF58" s="6">
        <f>IF('Time series'!EF1=0,NA(),'Time series'!EF1)</f>
        <v>44424</v>
      </c>
      <c r="EG58" s="6">
        <f>IF('Time series'!EG1=0,NA(),'Time series'!EG1)</f>
        <v>44425</v>
      </c>
      <c r="EH58" s="6">
        <f>IF('Time series'!EH1=0,NA(),'Time series'!EH1)</f>
        <v>44426</v>
      </c>
      <c r="EI58" s="6">
        <f>IF('Time series'!EI1=0,NA(),'Time series'!EI1)</f>
        <v>44427</v>
      </c>
      <c r="EJ58" s="6">
        <f>IF('Time series'!EJ1=0,NA(),'Time series'!EJ1)</f>
        <v>44428</v>
      </c>
      <c r="EK58" s="6">
        <f>IF('Time series'!EK1=0,NA(),'Time series'!EK1)</f>
        <v>44431</v>
      </c>
      <c r="EL58" s="6">
        <f>IF('Time series'!EL1=0,NA(),'Time series'!EL1)</f>
        <v>44432</v>
      </c>
      <c r="EM58" s="6">
        <f>IF('Time series'!EM1=0,NA(),'Time series'!EM1)</f>
        <v>44433</v>
      </c>
      <c r="EN58" s="6">
        <f>IF('Time series'!EN1=0,NA(),'Time series'!EN1)</f>
        <v>44434</v>
      </c>
      <c r="EO58" s="6">
        <f>IF('Time series'!EO1=0,NA(),'Time series'!EO1)</f>
        <v>44435</v>
      </c>
      <c r="EP58" s="6">
        <f>IF('Time series'!EP1=0,NA(),'Time series'!EP1)</f>
        <v>44438</v>
      </c>
      <c r="EQ58" s="6">
        <f>IF('Time series'!EQ1=0,NA(),'Time series'!EQ1)</f>
        <v>44439</v>
      </c>
      <c r="ER58" s="6">
        <f>IF('Time series'!ER1=0,NA(),'Time series'!ER1)</f>
        <v>44440</v>
      </c>
      <c r="ES58" s="6">
        <f>IF('Time series'!ES1=0,NA(),'Time series'!ES1)</f>
        <v>44441</v>
      </c>
      <c r="ET58" s="6">
        <f>IF('Time series'!ET1=0,NA(),'Time series'!ET1)</f>
        <v>44442</v>
      </c>
      <c r="EU58" s="6">
        <f>IF('Time series'!EU1=0,NA(),'Time series'!EU1)</f>
        <v>44446</v>
      </c>
      <c r="EV58" s="6">
        <f>IF('Time series'!EV1=0,NA(),'Time series'!EV1)</f>
        <v>44447</v>
      </c>
      <c r="EW58" s="6">
        <f>IF('Time series'!EW1=0,NA(),'Time series'!EW1)</f>
        <v>44448</v>
      </c>
      <c r="EX58" s="6">
        <f>IF('Time series'!EX1=0,NA(),'Time series'!EX1)</f>
        <v>44449</v>
      </c>
      <c r="EY58" s="6">
        <f>IF('Time series'!EY1=0,NA(),'Time series'!EY1)</f>
        <v>44452</v>
      </c>
      <c r="EZ58" s="6">
        <f>IF('Time series'!EZ1=0,NA(),'Time series'!EZ1)</f>
        <v>44453</v>
      </c>
      <c r="FA58" s="6">
        <f>IF('Time series'!FA1=0,NA(),'Time series'!FA1)</f>
        <v>44454</v>
      </c>
      <c r="FB58" s="6">
        <f>IF('Time series'!FB1=0,NA(),'Time series'!FB1)</f>
        <v>44455</v>
      </c>
      <c r="FC58" s="6">
        <f>IF('Time series'!FC1=0,NA(),'Time series'!FC1)</f>
        <v>44456</v>
      </c>
      <c r="FD58" s="6">
        <f>IF('Time series'!FD1=0,NA(),'Time series'!FD1)</f>
        <v>44459</v>
      </c>
      <c r="FE58" s="6">
        <f>IF('Time series'!FE1=0,NA(),'Time series'!FE1)</f>
        <v>44460</v>
      </c>
      <c r="FF58" s="6">
        <f>IF('Time series'!FF1=0,NA(),'Time series'!FF1)</f>
        <v>44461</v>
      </c>
      <c r="FG58" s="6">
        <f>IF('Time series'!FG1=0,NA(),'Time series'!FG1)</f>
        <v>44462</v>
      </c>
      <c r="FH58" s="6">
        <f>IF('Time series'!FH1=0,NA(),'Time series'!FH1)</f>
        <v>44463</v>
      </c>
      <c r="FI58" s="6">
        <f>IF('Time series'!FI1=0,NA(),'Time series'!FI1)</f>
        <v>44466</v>
      </c>
      <c r="FJ58" s="6">
        <f>IF('Time series'!FJ1=0,NA(),'Time series'!FJ1)</f>
        <v>44467</v>
      </c>
      <c r="FK58" s="6">
        <f>IF('Time series'!FK1=0,NA(),'Time series'!FK1)</f>
        <v>44468</v>
      </c>
      <c r="FL58" s="6">
        <f>IF('Time series'!FL1=0,NA(),'Time series'!FL1)</f>
        <v>44469</v>
      </c>
      <c r="FM58" s="6">
        <f>IF('Time series'!FM1=0,NA(),'Time series'!FM1)</f>
        <v>44470</v>
      </c>
      <c r="FN58" s="6">
        <f>IF('Time series'!FN1=0,NA(),'Time series'!FN1)</f>
        <v>44473</v>
      </c>
      <c r="FO58" s="6">
        <f>IF('Time series'!FO1=0,NA(),'Time series'!FO1)</f>
        <v>44474</v>
      </c>
      <c r="FP58" s="6">
        <f>IF('Time series'!FP1=0,NA(),'Time series'!FP1)</f>
        <v>44475</v>
      </c>
      <c r="FQ58" s="6">
        <f>IF('Time series'!FQ1=0,NA(),'Time series'!FQ1)</f>
        <v>44476</v>
      </c>
      <c r="FR58" s="6">
        <f>IF('Time series'!FR1=0,NA(),'Time series'!FR1)</f>
        <v>44477</v>
      </c>
      <c r="FS58" s="6">
        <f>IF('Time series'!FS1=0,NA(),'Time series'!FS1)</f>
        <v>44480</v>
      </c>
      <c r="FT58" s="6">
        <f>IF('Time series'!FT1=0,NA(),'Time series'!FT1)</f>
        <v>44481</v>
      </c>
      <c r="FU58" s="6">
        <f>IF('Time series'!FU1=0,NA(),'Time series'!FU1)</f>
        <v>44482</v>
      </c>
      <c r="FV58" s="6">
        <f>IF('Time series'!FV1=0,NA(),'Time series'!FV1)</f>
        <v>44483</v>
      </c>
      <c r="FW58" s="6">
        <f>IF('Time series'!FW1=0,NA(),'Time series'!FW1)</f>
        <v>44484</v>
      </c>
      <c r="FX58" s="6">
        <f>IF('Time series'!FX1=0,NA(),'Time series'!FX1)</f>
        <v>44487</v>
      </c>
      <c r="FY58" s="6">
        <f>IF('Time series'!FY1=0,NA(),'Time series'!FY1)</f>
        <v>44488</v>
      </c>
      <c r="FZ58" s="6">
        <f>IF('Time series'!FZ1=0,NA(),'Time series'!FZ1)</f>
        <v>44489</v>
      </c>
      <c r="GA58" s="6">
        <f>IF('Time series'!GA1=0,NA(),'Time series'!GA1)</f>
        <v>44490</v>
      </c>
      <c r="GB58" s="6">
        <f>IF('Time series'!GB1=0,NA(),'Time series'!GB1)</f>
        <v>44491</v>
      </c>
      <c r="GC58" s="6">
        <f>IF('Time series'!GC1=0,NA(),'Time series'!GC1)</f>
        <v>44494</v>
      </c>
      <c r="GD58" s="6">
        <f>IF('Time series'!GD1=0,NA(),'Time series'!GD1)</f>
        <v>44495</v>
      </c>
      <c r="GE58" s="6">
        <f>IF('Time series'!GE1=0,NA(),'Time series'!GE1)</f>
        <v>44496</v>
      </c>
      <c r="GF58" s="6">
        <f>IF('Time series'!GF1=0,NA(),'Time series'!GF1)</f>
        <v>44497</v>
      </c>
      <c r="GG58" s="6">
        <f>IF('Time series'!GG1=0,NA(),'Time series'!GG1)</f>
        <v>44498</v>
      </c>
      <c r="GH58" s="6">
        <f>IF('Time series'!GH1=0,NA(),'Time series'!GH1)</f>
        <v>44502</v>
      </c>
      <c r="GI58" s="6">
        <f>IF('Time series'!GI1=0,NA(),'Time series'!GI1)</f>
        <v>44503</v>
      </c>
      <c r="GJ58" s="6">
        <f>IF('Time series'!GJ1=0,NA(),'Time series'!GJ1)</f>
        <v>44505</v>
      </c>
      <c r="GK58" s="6">
        <f>IF('Time series'!GK1=0,NA(),'Time series'!GK1)</f>
        <v>44508</v>
      </c>
      <c r="GL58" s="6">
        <f>IF('Time series'!GL1=0,NA(),'Time series'!GL1)</f>
        <v>44509</v>
      </c>
      <c r="GM58" s="6">
        <f>IF('Time series'!GM1=0,NA(),'Time series'!GM1)</f>
        <v>44510</v>
      </c>
      <c r="GN58" s="6">
        <f>IF('Time series'!GN1=0,NA(),'Time series'!GN1)</f>
        <v>44511</v>
      </c>
      <c r="GO58" s="6">
        <f>IF('Time series'!GO1=0,NA(),'Time series'!GO1)</f>
        <v>44512</v>
      </c>
      <c r="GP58" s="6">
        <f>IF('Time series'!GP1=0,NA(),'Time series'!GP1)</f>
        <v>44515</v>
      </c>
      <c r="GQ58" s="6">
        <f>IF('Time series'!GQ1=0,NA(),'Time series'!GQ1)</f>
        <v>44516</v>
      </c>
      <c r="GR58" s="6">
        <f>IF('Time series'!GR1=0,NA(),'Time series'!GR1)</f>
        <v>44517</v>
      </c>
      <c r="GS58" s="6">
        <f>IF('Time series'!GS1=0,NA(),'Time series'!GS1)</f>
        <v>44518</v>
      </c>
      <c r="GT58" s="6">
        <f>IF('Time series'!GT1=0,NA(),'Time series'!GT1)</f>
        <v>44519</v>
      </c>
      <c r="GU58" s="6">
        <f>IF('Time series'!GU1=0,NA(),'Time series'!GU1)</f>
        <v>44522</v>
      </c>
      <c r="GV58" s="6">
        <f>IF('Time series'!GV1=0,NA(),'Time series'!GV1)</f>
        <v>44523</v>
      </c>
      <c r="GW58" s="6">
        <f>IF('Time series'!GW1=0,NA(),'Time series'!GW1)</f>
        <v>44524</v>
      </c>
      <c r="GX58" s="6">
        <f>IF('Time series'!GX1=0,NA(),'Time series'!GX1)</f>
        <v>44526</v>
      </c>
      <c r="GY58" s="6">
        <f>IF('Time series'!GY1=0,NA(),'Time series'!GY1)</f>
        <v>44529</v>
      </c>
      <c r="GZ58" s="6">
        <f>IF('Time series'!GZ1=0,NA(),'Time series'!GZ1)</f>
        <v>44530</v>
      </c>
      <c r="HA58" s="6">
        <f>IF('Time series'!HA1=0,NA(),'Time series'!HA1)</f>
        <v>44531</v>
      </c>
      <c r="HB58" s="6">
        <f>IF('Time series'!HB1=0,NA(),'Time series'!HB1)</f>
        <v>44532</v>
      </c>
      <c r="HC58" s="6">
        <f>IF('Time series'!HC1=0,NA(),'Time series'!HC1)</f>
        <v>44533</v>
      </c>
      <c r="HD58" s="6">
        <f>IF('Time series'!HD1=0,NA(),'Time series'!HD1)</f>
        <v>44536</v>
      </c>
      <c r="HE58" s="6">
        <f>IF('Time series'!HE1=0,NA(),'Time series'!HE1)</f>
        <v>44537</v>
      </c>
      <c r="HF58" s="6">
        <f>IF('Time series'!HF1=0,NA(),'Time series'!HF1)</f>
        <v>44538</v>
      </c>
      <c r="HG58" s="6">
        <f>IF('Time series'!HG1=0,NA(),'Time series'!HG1)</f>
        <v>44539</v>
      </c>
      <c r="HH58" s="6">
        <f>IF('Time series'!HH1=0,NA(),'Time series'!HH1)</f>
        <v>44540</v>
      </c>
      <c r="HI58" s="6">
        <f>IF('Time series'!HI1=0,NA(),'Time series'!HI1)</f>
        <v>44543</v>
      </c>
      <c r="HJ58" s="6">
        <f>IF('Time series'!HJ1=0,NA(),'Time series'!HJ1)</f>
        <v>44544</v>
      </c>
      <c r="HK58" s="6">
        <f>IF('Time series'!HK1=0,NA(),'Time series'!HK1)</f>
        <v>44545</v>
      </c>
      <c r="HL58" s="6">
        <f>IF('Time series'!HL1=0,NA(),'Time series'!HL1)</f>
        <v>44546</v>
      </c>
      <c r="HM58" s="6">
        <f>IF('Time series'!HM1=0,NA(),'Time series'!HM1)</f>
        <v>44547</v>
      </c>
      <c r="HN58" s="6">
        <f>IF('Time series'!HN1=0,NA(),'Time series'!HN1)</f>
        <v>44550</v>
      </c>
      <c r="HO58" s="6">
        <f>IF('Time series'!HO1=0,NA(),'Time series'!HO1)</f>
        <v>44551</v>
      </c>
      <c r="HP58" s="6">
        <f>IF('Time series'!HP1=0,NA(),'Time series'!HP1)</f>
        <v>44552</v>
      </c>
      <c r="HQ58" s="6">
        <f>IF('Time series'!HQ1=0,NA(),'Time series'!HQ1)</f>
        <v>44553</v>
      </c>
      <c r="HR58" s="6">
        <f>IF('Time series'!HR1=0,NA(),'Time series'!HR1)</f>
        <v>44557</v>
      </c>
      <c r="HS58" s="6">
        <f>IF('Time series'!HS1=0,NA(),'Time series'!HS1)</f>
        <v>44558</v>
      </c>
      <c r="HT58" s="6">
        <f>IF('Time series'!HT1=0,NA(),'Time series'!HT1)</f>
        <v>44559</v>
      </c>
      <c r="HU58" s="6">
        <f>IF('Time series'!HU1=0,NA(),'Time series'!HU1)</f>
        <v>44560</v>
      </c>
      <c r="HV58" s="6">
        <f>IF('Time series'!HV1=0,NA(),'Time series'!HV1)</f>
        <v>44564</v>
      </c>
      <c r="HW58" s="6">
        <f>IF('Time series'!HW1=0,NA(),'Time series'!HW1)</f>
        <v>44565</v>
      </c>
      <c r="HX58" s="6">
        <f>IF('Time series'!HX1=0,NA(),'Time series'!HX1)</f>
        <v>44566</v>
      </c>
      <c r="HY58" s="6">
        <f>IF('Time series'!HY1=0,NA(),'Time series'!HY1)</f>
        <v>44567</v>
      </c>
      <c r="HZ58" s="6">
        <f>IF('Time series'!HZ1=0,NA(),'Time series'!HZ1)</f>
        <v>44571</v>
      </c>
      <c r="IA58" s="6">
        <f>IF('Time series'!IA1=0,NA(),'Time series'!IA1)</f>
        <v>44572</v>
      </c>
      <c r="IB58" s="6">
        <f>IF('Time series'!IB1=0,NA(),'Time series'!IB1)</f>
        <v>44573</v>
      </c>
      <c r="IC58" s="6">
        <f>IF('Time series'!IC1=0,NA(),'Time series'!IC1)</f>
        <v>44574</v>
      </c>
      <c r="ID58" s="6">
        <f>IF('Time series'!ID1=0,NA(),'Time series'!ID1)</f>
        <v>44575</v>
      </c>
      <c r="IE58" s="6">
        <f>IF('Time series'!IE1=0,NA(),'Time series'!IE1)</f>
        <v>44579</v>
      </c>
      <c r="IF58" s="6">
        <f>IF('Time series'!IF1=0,NA(),'Time series'!IF1)</f>
        <v>44580</v>
      </c>
      <c r="IG58" s="6">
        <f>IF('Time series'!IG1=0,NA(),'Time series'!IG1)</f>
        <v>44581</v>
      </c>
      <c r="IH58" s="6" t="e">
        <f>IF('Time series'!IH1=0,NA(),'Time series'!IH1)</f>
        <v>#N/A</v>
      </c>
      <c r="II58" s="6" t="e">
        <f>IF('Time series'!II1=0,NA(),'Time series'!II1)</f>
        <v>#N/A</v>
      </c>
      <c r="IJ58" s="6" t="e">
        <f>IF('Time series'!IJ1=0,NA(),'Time series'!IJ1)</f>
        <v>#N/A</v>
      </c>
      <c r="IK58" s="6" t="e">
        <f>IF('Time series'!IK1=0,NA(),'Time series'!IK1)</f>
        <v>#N/A</v>
      </c>
      <c r="IL58" s="6" t="e">
        <f>IF('Time series'!IL1=0,NA(),'Time series'!IL1)</f>
        <v>#N/A</v>
      </c>
      <c r="IM58" s="6" t="e">
        <f>IF('Time series'!IM1=0,NA(),'Time series'!IM1)</f>
        <v>#N/A</v>
      </c>
      <c r="IN58" s="6" t="e">
        <f>IF('Time series'!IN1=0,NA(),'Time series'!IN1)</f>
        <v>#N/A</v>
      </c>
      <c r="IO58" s="6" t="e">
        <f>IF('Time series'!IO1=0,NA(),'Time series'!IO1)</f>
        <v>#N/A</v>
      </c>
      <c r="IP58" s="6" t="e">
        <f>IF('Time series'!IP1=0,NA(),'Time series'!IP1)</f>
        <v>#N/A</v>
      </c>
      <c r="IQ58" s="6" t="e">
        <f>IF('Time series'!IQ1=0,NA(),'Time series'!IQ1)</f>
        <v>#N/A</v>
      </c>
      <c r="IR58" s="6" t="e">
        <f>IF('Time series'!IR1=0,NA(),'Time series'!IR1)</f>
        <v>#N/A</v>
      </c>
      <c r="IS58" s="6" t="e">
        <f>IF('Time series'!IS1=0,NA(),'Time series'!IS1)</f>
        <v>#N/A</v>
      </c>
      <c r="IT58" s="6" t="e">
        <f>IF('Time series'!IT1=0,NA(),'Time series'!IT1)</f>
        <v>#N/A</v>
      </c>
      <c r="IU58" s="6" t="e">
        <f>IF('Time series'!IU1=0,NA(),'Time series'!IU1)</f>
        <v>#N/A</v>
      </c>
      <c r="IV58" s="6" t="e">
        <f>IF('Time series'!IV1=0,NA(),'Time series'!IV1)</f>
        <v>#N/A</v>
      </c>
      <c r="IW58" s="6" t="e">
        <f>IF('Time series'!IW1=0,NA(),'Time series'!IW1)</f>
        <v>#N/A</v>
      </c>
      <c r="IX58" s="6" t="e">
        <f>IF('Time series'!IX1=0,NA(),'Time series'!IX1)</f>
        <v>#N/A</v>
      </c>
      <c r="IY58" s="6" t="e">
        <f>IF('Time series'!IY1=0,NA(),'Time series'!IY1)</f>
        <v>#N/A</v>
      </c>
      <c r="IZ58" s="6" t="e">
        <f>IF('Time series'!IZ1=0,NA(),'Time series'!IZ1)</f>
        <v>#N/A</v>
      </c>
      <c r="JA58" s="6" t="e">
        <f>IF('Time series'!JA1=0,NA(),'Time series'!JA1)</f>
        <v>#N/A</v>
      </c>
      <c r="JB58" s="6" t="e">
        <f>IF('Time series'!JB1=0,NA(),'Time series'!JB1)</f>
        <v>#N/A</v>
      </c>
      <c r="JC58" s="6" t="e">
        <f>IF('Time series'!JC1=0,NA(),'Time series'!JC1)</f>
        <v>#N/A</v>
      </c>
      <c r="JD58" s="6" t="e">
        <f>IF('Time series'!JD1=0,NA(),'Time series'!JD1)</f>
        <v>#N/A</v>
      </c>
      <c r="JE58" s="6" t="e">
        <f>IF('Time series'!JE1=0,NA(),'Time series'!JE1)</f>
        <v>#N/A</v>
      </c>
      <c r="JF58" s="6" t="e">
        <f>IF('Time series'!JF1=0,NA(),'Time series'!JF1)</f>
        <v>#N/A</v>
      </c>
      <c r="JG58" s="6" t="e">
        <f>IF('Time series'!JG1=0,NA(),'Time series'!JG1)</f>
        <v>#N/A</v>
      </c>
      <c r="JH58" s="6" t="e">
        <f>IF('Time series'!JH1=0,NA(),'Time series'!JH1)</f>
        <v>#N/A</v>
      </c>
      <c r="JI58" s="6" t="e">
        <f>IF('Time series'!JI1=0,NA(),'Time series'!JI1)</f>
        <v>#N/A</v>
      </c>
    </row>
    <row r="59" spans="1:269">
      <c r="A59">
        <f>MATCH(Q1,'Time series'!A:A,0)</f>
        <v>2</v>
      </c>
      <c r="B59">
        <f>IF(INDEX('Time series'!B:B,$A$59)=0,NA(),INDEX('Time series'!B:B,$A$59))</f>
        <v>31.35</v>
      </c>
      <c r="C59">
        <f>IF(INDEX('Time series'!C:C,$A$59)=0,NA(),INDEX('Time series'!C:C,$A$59))</f>
        <v>30.98</v>
      </c>
      <c r="D59">
        <f>IF(INDEX('Time series'!D:D,$A$59)=0,NA(),INDEX('Time series'!D:D,$A$59))</f>
        <v>31.59</v>
      </c>
      <c r="E59">
        <f>IF(INDEX('Time series'!E:E,$A$59)=0,NA(),INDEX('Time series'!E:E,$A$59))</f>
        <v>30.69</v>
      </c>
      <c r="F59">
        <f>IF(INDEX('Time series'!F:F,$A$59)=0,NA(),INDEX('Time series'!F:F,$A$59))</f>
        <v>31.06</v>
      </c>
      <c r="G59">
        <f>IF(INDEX('Time series'!G:G,$A$59)=0,NA(),INDEX('Time series'!G:G,$A$59))</f>
        <v>30.6</v>
      </c>
      <c r="H59">
        <f>IF(INDEX('Time series'!H:H,$A$59)=0,NA(),INDEX('Time series'!H:H,$A$59))</f>
        <v>31.15</v>
      </c>
      <c r="I59">
        <f>IF(INDEX('Time series'!I:I,$A$59)=0,NA(),INDEX('Time series'!I:I,$A$59))</f>
        <v>31.49</v>
      </c>
      <c r="J59">
        <f>IF(INDEX('Time series'!J:J,$A$59)=0,NA(),INDEX('Time series'!J:J,$A$59))</f>
        <v>31.74</v>
      </c>
      <c r="K59">
        <f>IF(INDEX('Time series'!K:K,$A$59)=0,NA(),INDEX('Time series'!K:K,$A$59))</f>
        <v>32</v>
      </c>
      <c r="L59">
        <f>IF(INDEX('Time series'!L:L,$A$59)=0,NA(),INDEX('Time series'!L:L,$A$59))</f>
        <v>32</v>
      </c>
      <c r="M59">
        <f>IF(INDEX('Time series'!M:M,$A$59)=0,NA(),INDEX('Time series'!M:M,$A$59))</f>
        <v>32</v>
      </c>
      <c r="N59">
        <f>IF(INDEX('Time series'!N:N,$A$59)=0,NA(),INDEX('Time series'!N:N,$A$59))</f>
        <v>31.83</v>
      </c>
      <c r="O59">
        <f>IF(INDEX('Time series'!O:O,$A$59)=0,NA(),INDEX('Time series'!O:O,$A$59))</f>
        <v>31.71</v>
      </c>
      <c r="P59">
        <f>IF(INDEX('Time series'!P:P,$A$59)=0,NA(),INDEX('Time series'!P:P,$A$59))</f>
        <v>31.89</v>
      </c>
      <c r="Q59">
        <f>IF(INDEX('Time series'!Q:Q,$A$59)=0,NA(),INDEX('Time series'!Q:Q,$A$59))</f>
        <v>32.04</v>
      </c>
      <c r="R59">
        <f>IF(INDEX('Time series'!R:R,$A$59)=0,NA(),INDEX('Time series'!R:R,$A$59))</f>
        <v>32.19</v>
      </c>
      <c r="S59">
        <f>IF(INDEX('Time series'!S:S,$A$59)=0,NA(),INDEX('Time series'!S:S,$A$59))</f>
        <v>31.85</v>
      </c>
      <c r="T59">
        <f>IF(INDEX('Time series'!T:T,$A$59)=0,NA(),INDEX('Time series'!T:T,$A$59))</f>
        <v>31.79</v>
      </c>
      <c r="U59">
        <f>IF(INDEX('Time series'!U:U,$A$59)=0,NA(),INDEX('Time series'!U:U,$A$59))</f>
        <v>31.84</v>
      </c>
      <c r="V59">
        <f>IF(INDEX('Time series'!V:V,$A$59)=0,NA(),INDEX('Time series'!V:V,$A$59))</f>
        <v>31.76</v>
      </c>
      <c r="W59">
        <f>IF(INDEX('Time series'!W:W,$A$59)=0,NA(),INDEX('Time series'!W:W,$A$59))</f>
        <v>31.81</v>
      </c>
      <c r="X59">
        <f>IF(INDEX('Time series'!X:X,$A$59)=0,NA(),INDEX('Time series'!X:X,$A$59))</f>
        <v>31.26</v>
      </c>
      <c r="Y59">
        <f>IF(INDEX('Time series'!Y:Y,$A$59)=0,NA(),INDEX('Time series'!Y:Y,$A$59))</f>
        <v>31.5</v>
      </c>
      <c r="Z59">
        <f>IF(INDEX('Time series'!Z:Z,$A$59)=0,NA(),INDEX('Time series'!Z:Z,$A$59))</f>
        <v>31.86</v>
      </c>
      <c r="AA59">
        <f>IF(INDEX('Time series'!AA:AA,$A$59)=0,NA(),INDEX('Time series'!AA:AA,$A$59))</f>
        <v>31.95</v>
      </c>
      <c r="AB59">
        <f>IF(INDEX('Time series'!AB:AB,$A$59)=0,NA(),INDEX('Time series'!AB:AB,$A$59))</f>
        <v>31.75</v>
      </c>
      <c r="AC59">
        <f>IF(INDEX('Time series'!AC:AC,$A$59)=0,NA(),INDEX('Time series'!AC:AC,$A$59))</f>
        <v>31.57</v>
      </c>
      <c r="AD59">
        <f>IF(INDEX('Time series'!AD:AD,$A$59)=0,NA(),INDEX('Time series'!AD:AD,$A$59))</f>
        <v>31.72</v>
      </c>
      <c r="AE59">
        <f>IF(INDEX('Time series'!AE:AE,$A$59)=0,NA(),INDEX('Time series'!AE:AE,$A$59))</f>
        <v>32.49</v>
      </c>
      <c r="AF59">
        <f>IF(INDEX('Time series'!AF:AF,$A$59)=0,NA(),INDEX('Time series'!AF:AF,$A$59))</f>
        <v>32.71</v>
      </c>
      <c r="AG59">
        <f>IF(INDEX('Time series'!AG:AG,$A$59)=0,NA(),INDEX('Time series'!AG:AG,$A$59))</f>
        <v>32.799999999999997</v>
      </c>
      <c r="AH59">
        <f>IF(INDEX('Time series'!AH:AH,$A$59)=0,NA(),INDEX('Time series'!AH:AH,$A$59))</f>
        <v>32.770000000000003</v>
      </c>
      <c r="AI59">
        <f>IF(INDEX('Time series'!AI:AI,$A$59)=0,NA(),INDEX('Time series'!AI:AI,$A$59))</f>
        <v>32.770000000000003</v>
      </c>
      <c r="AJ59">
        <f>IF(INDEX('Time series'!AJ:AJ,$A$59)=0,NA(),INDEX('Time series'!AJ:AJ,$A$59))</f>
        <v>32.76</v>
      </c>
      <c r="AK59">
        <f>IF(INDEX('Time series'!AK:AK,$A$59)=0,NA(),INDEX('Time series'!AK:AK,$A$59))</f>
        <v>33.15</v>
      </c>
      <c r="AL59">
        <f>IF(INDEX('Time series'!AL:AL,$A$59)=0,NA(),INDEX('Time series'!AL:AL,$A$59))</f>
        <v>33.24</v>
      </c>
      <c r="AM59">
        <f>IF(INDEX('Time series'!AM:AM,$A$59)=0,NA(),INDEX('Time series'!AM:AM,$A$59))</f>
        <v>33.14</v>
      </c>
      <c r="AN59">
        <f>IF(INDEX('Time series'!AN:AN,$A$59)=0,NA(),INDEX('Time series'!AN:AN,$A$59))</f>
        <v>33.159999999999997</v>
      </c>
      <c r="AO59">
        <f>IF(INDEX('Time series'!AO:AO,$A$59)=0,NA(),INDEX('Time series'!AO:AO,$A$59))</f>
        <v>33.119999999999997</v>
      </c>
      <c r="AP59">
        <f>IF(INDEX('Time series'!AP:AP,$A$59)=0,NA(),INDEX('Time series'!AP:AP,$A$59))</f>
        <v>32.880000000000003</v>
      </c>
      <c r="AQ59">
        <f>IF(INDEX('Time series'!AQ:AQ,$A$59)=0,NA(),INDEX('Time series'!AQ:AQ,$A$59))</f>
        <v>33.1</v>
      </c>
      <c r="AR59">
        <f>IF(INDEX('Time series'!AR:AR,$A$59)=0,NA(),INDEX('Time series'!AR:AR,$A$59))</f>
        <v>33.43</v>
      </c>
      <c r="AS59">
        <f>IF(INDEX('Time series'!AS:AS,$A$59)=0,NA(),INDEX('Time series'!AS:AS,$A$59))</f>
        <v>33.47</v>
      </c>
      <c r="AT59">
        <f>IF(INDEX('Time series'!AT:AT,$A$59)=0,NA(),INDEX('Time series'!AT:AT,$A$59))</f>
        <v>33.68</v>
      </c>
      <c r="AU59">
        <f>IF(INDEX('Time series'!AU:AU,$A$59)=0,NA(),INDEX('Time series'!AU:AU,$A$59))</f>
        <v>33.869999999999997</v>
      </c>
      <c r="AV59">
        <f>IF(INDEX('Time series'!AV:AV,$A$59)=0,NA(),INDEX('Time series'!AV:AV,$A$59))</f>
        <v>34.19</v>
      </c>
      <c r="AW59">
        <f>IF(INDEX('Time series'!AW:AW,$A$59)=0,NA(),INDEX('Time series'!AW:AW,$A$59))</f>
        <v>34.340000000000003</v>
      </c>
      <c r="AX59">
        <f>IF(INDEX('Time series'!AX:AX,$A$59)=0,NA(),INDEX('Time series'!AX:AX,$A$59))</f>
        <v>34.32</v>
      </c>
      <c r="AY59">
        <f>IF(INDEX('Time series'!AY:AY,$A$59)=0,NA(),INDEX('Time series'!AY:AY,$A$59))</f>
        <v>34.369999999999997</v>
      </c>
      <c r="AZ59">
        <f>IF(INDEX('Time series'!AZ:AZ,$A$59)=0,NA(),INDEX('Time series'!AZ:AZ,$A$59))</f>
        <v>34.44</v>
      </c>
      <c r="BA59">
        <f>IF(INDEX('Time series'!BA:BA,$A$59)=0,NA(),INDEX('Time series'!BA:BA,$A$59))</f>
        <v>34.51</v>
      </c>
      <c r="BB59">
        <f>IF(INDEX('Time series'!BB:BB,$A$59)=0,NA(),INDEX('Time series'!BB:BB,$A$59))</f>
        <v>34.47</v>
      </c>
      <c r="BC59">
        <f>IF(INDEX('Time series'!BC:BC,$A$59)=0,NA(),INDEX('Time series'!BC:BC,$A$59))</f>
        <v>34.35</v>
      </c>
      <c r="BD59">
        <f>IF(INDEX('Time series'!BD:BD,$A$59)=0,NA(),INDEX('Time series'!BD:BD,$A$59))</f>
        <v>34.53</v>
      </c>
      <c r="BE59">
        <f>IF(INDEX('Time series'!BE:BE,$A$59)=0,NA(),INDEX('Time series'!BE:BE,$A$59))</f>
        <v>35.1</v>
      </c>
      <c r="BF59">
        <f>IF(INDEX('Time series'!BF:BF,$A$59)=0,NA(),INDEX('Time series'!BF:BF,$A$59))</f>
        <v>34.950000000000003</v>
      </c>
      <c r="BG59">
        <f>IF(INDEX('Time series'!BG:BG,$A$59)=0,NA(),INDEX('Time series'!BG:BG,$A$59))</f>
        <v>34.43</v>
      </c>
      <c r="BH59">
        <f>IF(INDEX('Time series'!BH:BH,$A$59)=0,NA(),INDEX('Time series'!BH:BH,$A$59))</f>
        <v>34.68</v>
      </c>
      <c r="BI59">
        <f>IF(INDEX('Time series'!BI:BI,$A$59)=0,NA(),INDEX('Time series'!BI:BI,$A$59))</f>
        <v>34.619999999999997</v>
      </c>
      <c r="BJ59">
        <f>IF(INDEX('Time series'!BJ:BJ,$A$59)=0,NA(),INDEX('Time series'!BJ:BJ,$A$59))</f>
        <v>34.64</v>
      </c>
      <c r="BK59">
        <f>IF(INDEX('Time series'!BK:BK,$A$59)=0,NA(),INDEX('Time series'!BK:BK,$A$59))</f>
        <v>34.799999999999997</v>
      </c>
      <c r="BL59">
        <f>IF(INDEX('Time series'!BL:BL,$A$59)=0,NA(),INDEX('Time series'!BL:BL,$A$59))</f>
        <v>34.78</v>
      </c>
      <c r="BM59">
        <f>IF(INDEX('Time series'!BM:BM,$A$59)=0,NA(),INDEX('Time series'!BM:BM,$A$59))</f>
        <v>34.75</v>
      </c>
      <c r="BN59">
        <f>IF(INDEX('Time series'!BN:BN,$A$59)=0,NA(),INDEX('Time series'!BN:BN,$A$59))</f>
        <v>34.58</v>
      </c>
      <c r="BO59">
        <f>IF(INDEX('Time series'!BO:BO,$A$59)=0,NA(),INDEX('Time series'!BO:BO,$A$59))</f>
        <v>34.44</v>
      </c>
      <c r="BP59">
        <f>IF(INDEX('Time series'!BP:BP,$A$59)=0,NA(),INDEX('Time series'!BP:BP,$A$59))</f>
        <v>34</v>
      </c>
      <c r="BQ59">
        <f>IF(INDEX('Time series'!BQ:BQ,$A$59)=0,NA(),INDEX('Time series'!BQ:BQ,$A$59))</f>
        <v>34.49</v>
      </c>
      <c r="BR59">
        <f>IF(INDEX('Time series'!BR:BR,$A$59)=0,NA(),INDEX('Time series'!BR:BR,$A$59))</f>
        <v>34.619999999999997</v>
      </c>
      <c r="BS59">
        <f>IF(INDEX('Time series'!BS:BS,$A$59)=0,NA(),INDEX('Time series'!BS:BS,$A$59))</f>
        <v>34.85</v>
      </c>
      <c r="BT59">
        <f>IF(INDEX('Time series'!BT:BT,$A$59)=0,NA(),INDEX('Time series'!BT:BT,$A$59))</f>
        <v>34.69</v>
      </c>
      <c r="BU59">
        <f>IF(INDEX('Time series'!BU:BU,$A$59)=0,NA(),INDEX('Time series'!BU:BU,$A$59))</f>
        <v>34.26</v>
      </c>
      <c r="BV59">
        <f>IF(INDEX('Time series'!BV:BV,$A$59)=0,NA(),INDEX('Time series'!BV:BV,$A$59))</f>
        <v>34.049999999999997</v>
      </c>
      <c r="BW59">
        <f>IF(INDEX('Time series'!BW:BW,$A$59)=0,NA(),INDEX('Time series'!BW:BW,$A$59))</f>
        <v>34.799999999999997</v>
      </c>
      <c r="BX59">
        <f>IF(INDEX('Time series'!BX:BX,$A$59)=0,NA(),INDEX('Time series'!BX:BX,$A$59))</f>
        <v>34.75</v>
      </c>
      <c r="BY59">
        <f>IF(INDEX('Time series'!BY:BY,$A$59)=0,NA(),INDEX('Time series'!BY:BY,$A$59))</f>
        <v>34.65</v>
      </c>
      <c r="BZ59">
        <f>IF(INDEX('Time series'!BZ:BZ,$A$59)=0,NA(),INDEX('Time series'!BZ:BZ,$A$59))</f>
        <v>34.33</v>
      </c>
      <c r="CA59">
        <f>IF(INDEX('Time series'!CA:CA,$A$59)=0,NA(),INDEX('Time series'!CA:CA,$A$59))</f>
        <v>34.72</v>
      </c>
      <c r="CB59">
        <f>IF(INDEX('Time series'!CB:CB,$A$59)=0,NA(),INDEX('Time series'!CB:CB,$A$59))</f>
        <v>34.9</v>
      </c>
      <c r="CC59">
        <f>IF(INDEX('Time series'!CC:CC,$A$59)=0,NA(),INDEX('Time series'!CC:CC,$A$59))</f>
        <v>34.700000000000003</v>
      </c>
      <c r="CD59">
        <f>IF(INDEX('Time series'!CD:CD,$A$59)=0,NA(),INDEX('Time series'!CD:CD,$A$59))</f>
        <v>34.92</v>
      </c>
      <c r="CE59">
        <f>IF(INDEX('Time series'!CE:CE,$A$59)=0,NA(),INDEX('Time series'!CE:CE,$A$59))</f>
        <v>34.97</v>
      </c>
      <c r="CF59">
        <f>IF(INDEX('Time series'!CF:CF,$A$59)=0,NA(),INDEX('Time series'!CF:CF,$A$59))</f>
        <v>35</v>
      </c>
      <c r="CG59">
        <f>IF(INDEX('Time series'!CG:CG,$A$59)=0,NA(),INDEX('Time series'!CG:CG,$A$59))</f>
        <v>35.26</v>
      </c>
      <c r="CH59">
        <f>IF(INDEX('Time series'!CH:CH,$A$59)=0,NA(),INDEX('Time series'!CH:CH,$A$59))</f>
        <v>35.25</v>
      </c>
      <c r="CI59">
        <f>IF(INDEX('Time series'!CI:CI,$A$59)=0,NA(),INDEX('Time series'!CI:CI,$A$59))</f>
        <v>35.5</v>
      </c>
      <c r="CJ59">
        <f>IF(INDEX('Time series'!CJ:CJ,$A$59)=0,NA(),INDEX('Time series'!CJ:CJ,$A$59))</f>
        <v>35.659999999999997</v>
      </c>
      <c r="CK59">
        <f>IF(INDEX('Time series'!CK:CK,$A$59)=0,NA(),INDEX('Time series'!CK:CK,$A$59))</f>
        <v>35.659999999999997</v>
      </c>
      <c r="CL59">
        <f>IF(INDEX('Time series'!CL:CL,$A$59)=0,NA(),INDEX('Time series'!CL:CL,$A$59))</f>
        <v>35.78</v>
      </c>
      <c r="CM59">
        <f>IF(INDEX('Time series'!CM:CM,$A$59)=0,NA(),INDEX('Time series'!CM:CM,$A$59))</f>
        <v>35.51</v>
      </c>
      <c r="CN59">
        <f>IF(INDEX('Time series'!CN:CN,$A$59)=0,NA(),INDEX('Time series'!CN:CN,$A$59))</f>
        <v>35.51</v>
      </c>
      <c r="CO59">
        <f>IF(INDEX('Time series'!CO:CO,$A$59)=0,NA(),INDEX('Time series'!CO:CO,$A$59))</f>
        <v>35.81</v>
      </c>
      <c r="CP59">
        <f>IF(INDEX('Time series'!CP:CP,$A$59)=0,NA(),INDEX('Time series'!CP:CP,$A$59))</f>
        <v>35.840000000000003</v>
      </c>
      <c r="CQ59">
        <f>IF(INDEX('Time series'!CQ:CQ,$A$59)=0,NA(),INDEX('Time series'!CQ:CQ,$A$59))</f>
        <v>35.9</v>
      </c>
      <c r="CR59">
        <f>IF(INDEX('Time series'!CR:CR,$A$59)=0,NA(),INDEX('Time series'!CR:CR,$A$59))</f>
        <v>35.869999999999997</v>
      </c>
      <c r="CS59">
        <f>IF(INDEX('Time series'!CS:CS,$A$59)=0,NA(),INDEX('Time series'!CS:CS,$A$59))</f>
        <v>35.880000000000003</v>
      </c>
      <c r="CT59">
        <f>IF(INDEX('Time series'!CT:CT,$A$59)=0,NA(),INDEX('Time series'!CT:CT,$A$59))</f>
        <v>35.25</v>
      </c>
      <c r="CU59">
        <f>IF(INDEX('Time series'!CU:CU,$A$59)=0,NA(),INDEX('Time series'!CU:CU,$A$59))</f>
        <v>35.68</v>
      </c>
      <c r="CV59">
        <f>IF(INDEX('Time series'!CV:CV,$A$59)=0,NA(),INDEX('Time series'!CV:CV,$A$59))</f>
        <v>35.619999999999997</v>
      </c>
      <c r="CW59">
        <f>IF(INDEX('Time series'!CW:CW,$A$59)=0,NA(),INDEX('Time series'!CW:CW,$A$59))</f>
        <v>35.590000000000003</v>
      </c>
      <c r="CX59">
        <f>IF(INDEX('Time series'!CX:CX,$A$59)=0,NA(),INDEX('Time series'!CX:CX,$A$59))</f>
        <v>35.67</v>
      </c>
      <c r="CY59">
        <f>IF(INDEX('Time series'!CY:CY,$A$59)=0,NA(),INDEX('Time series'!CY:CY,$A$59))</f>
        <v>35.61</v>
      </c>
      <c r="CZ59">
        <f>IF(INDEX('Time series'!CZ:CZ,$A$59)=0,NA(),INDEX('Time series'!CZ:CZ,$A$59))</f>
        <v>36.479999999999997</v>
      </c>
      <c r="DA59">
        <f>IF(INDEX('Time series'!DA:DA,$A$59)=0,NA(),INDEX('Time series'!DA:DA,$A$59))</f>
        <v>35.46</v>
      </c>
      <c r="DB59">
        <f>IF(INDEX('Time series'!DB:DB,$A$59)=0,NA(),INDEX('Time series'!DB:DB,$A$59))</f>
        <v>35.54</v>
      </c>
      <c r="DC59">
        <f>IF(INDEX('Time series'!DC:DC,$A$59)=0,NA(),INDEX('Time series'!DC:DC,$A$59))</f>
        <v>35.799999999999997</v>
      </c>
      <c r="DD59">
        <f>IF(INDEX('Time series'!DD:DD,$A$59)=0,NA(),INDEX('Time series'!DD:DD,$A$59))</f>
        <v>35.299999999999997</v>
      </c>
      <c r="DE59">
        <f>IF(INDEX('Time series'!DE:DE,$A$59)=0,NA(),INDEX('Time series'!DE:DE,$A$59))</f>
        <v>35.71</v>
      </c>
      <c r="DF59">
        <f>IF(INDEX('Time series'!DF:DF,$A$59)=0,NA(),INDEX('Time series'!DF:DF,$A$59))</f>
        <v>35.15</v>
      </c>
      <c r="DG59">
        <f>IF(INDEX('Time series'!DG:DG,$A$59)=0,NA(),INDEX('Time series'!DG:DG,$A$59))</f>
        <v>35.700000000000003</v>
      </c>
      <c r="DH59">
        <f>IF(INDEX('Time series'!DH:DH,$A$59)=0,NA(),INDEX('Time series'!DH:DH,$A$59))</f>
        <v>35.99</v>
      </c>
      <c r="DI59">
        <f>IF(INDEX('Time series'!DI:DI,$A$59)=0,NA(),INDEX('Time series'!DI:DI,$A$59))</f>
        <v>35.979999999999997</v>
      </c>
      <c r="DJ59">
        <f>IF(INDEX('Time series'!DJ:DJ,$A$59)=0,NA(),INDEX('Time series'!DJ:DJ,$A$59))</f>
        <v>35.86</v>
      </c>
      <c r="DK59">
        <f>IF(INDEX('Time series'!DK:DK,$A$59)=0,NA(),INDEX('Time series'!DK:DK,$A$59))</f>
        <v>35.299999999999997</v>
      </c>
      <c r="DL59">
        <f>IF(INDEX('Time series'!DL:DL,$A$59)=0,NA(),INDEX('Time series'!DL:DL,$A$59))</f>
        <v>34.549999999999997</v>
      </c>
      <c r="DM59">
        <f>IF(INDEX('Time series'!DM:DM,$A$59)=0,NA(),INDEX('Time series'!DM:DM,$A$59))</f>
        <v>34.86</v>
      </c>
      <c r="DN59">
        <f>IF(INDEX('Time series'!DN:DN,$A$59)=0,NA(),INDEX('Time series'!DN:DN,$A$59))</f>
        <v>35.229999999999997</v>
      </c>
      <c r="DO59">
        <f>IF(INDEX('Time series'!DO:DO,$A$59)=0,NA(),INDEX('Time series'!DO:DO,$A$59))</f>
        <v>35.409999999999997</v>
      </c>
      <c r="DP59">
        <f>IF(INDEX('Time series'!DP:DP,$A$59)=0,NA(),INDEX('Time series'!DP:DP,$A$59))</f>
        <v>35.78</v>
      </c>
      <c r="DQ59">
        <f>IF(INDEX('Time series'!DQ:DQ,$A$59)=0,NA(),INDEX('Time series'!DQ:DQ,$A$59))</f>
        <v>35.67</v>
      </c>
      <c r="DR59">
        <f>IF(INDEX('Time series'!DR:DR,$A$59)=0,NA(),INDEX('Time series'!DR:DR,$A$59))</f>
        <v>35.46</v>
      </c>
      <c r="DS59">
        <f>IF(INDEX('Time series'!DS:DS,$A$59)=0,NA(),INDEX('Time series'!DS:DS,$A$59))</f>
        <v>35.46</v>
      </c>
      <c r="DT59">
        <f>IF(INDEX('Time series'!DT:DT,$A$59)=0,NA(),INDEX('Time series'!DT:DT,$A$59))</f>
        <v>35.630000000000003</v>
      </c>
      <c r="DU59">
        <f>IF(INDEX('Time series'!DU:DU,$A$59)=0,NA(),INDEX('Time series'!DU:DU,$A$59))</f>
        <v>35.5</v>
      </c>
      <c r="DV59">
        <f>IF(INDEX('Time series'!DV:DV,$A$59)=0,NA(),INDEX('Time series'!DV:DV,$A$59))</f>
        <v>35.4</v>
      </c>
      <c r="DW59">
        <f>IF(INDEX('Time series'!DW:DW,$A$59)=0,NA(),INDEX('Time series'!DW:DW,$A$59))</f>
        <v>35.56</v>
      </c>
      <c r="DX59">
        <f>IF(INDEX('Time series'!DX:DX,$A$59)=0,NA(),INDEX('Time series'!DX:DX,$A$59))</f>
        <v>35.85</v>
      </c>
      <c r="DY59">
        <f>IF(INDEX('Time series'!DY:DY,$A$59)=0,NA(),INDEX('Time series'!DY:DY,$A$59))</f>
        <v>36.090000000000003</v>
      </c>
      <c r="DZ59">
        <f>IF(INDEX('Time series'!DZ:DZ,$A$59)=0,NA(),INDEX('Time series'!DZ:DZ,$A$59))</f>
        <v>36.15</v>
      </c>
      <c r="EA59">
        <f>IF(INDEX('Time series'!EA:EA,$A$59)=0,NA(),INDEX('Time series'!EA:EA,$A$59))</f>
        <v>36.130000000000003</v>
      </c>
      <c r="EB59">
        <f>IF(INDEX('Time series'!EB:EB,$A$59)=0,NA(),INDEX('Time series'!EB:EB,$A$59))</f>
        <v>36.31</v>
      </c>
      <c r="EC59">
        <f>IF(INDEX('Time series'!EC:EC,$A$59)=0,NA(),INDEX('Time series'!EC:EC,$A$59))</f>
        <v>36.44</v>
      </c>
      <c r="ED59">
        <f>IF(INDEX('Time series'!ED:ED,$A$59)=0,NA(),INDEX('Time series'!ED:ED,$A$59))</f>
        <v>36.5</v>
      </c>
      <c r="EE59">
        <f>IF(INDEX('Time series'!EE:EE,$A$59)=0,NA(),INDEX('Time series'!EE:EE,$A$59))</f>
        <v>36.67</v>
      </c>
      <c r="EF59">
        <f>IF(INDEX('Time series'!EF:EF,$A$59)=0,NA(),INDEX('Time series'!EF:EF,$A$59))</f>
        <v>36.49</v>
      </c>
      <c r="EG59">
        <f>IF(INDEX('Time series'!EG:EG,$A$59)=0,NA(),INDEX('Time series'!EG:EG,$A$59))</f>
        <v>36.299999999999997</v>
      </c>
      <c r="EH59">
        <f>IF(INDEX('Time series'!EH:EH,$A$59)=0,NA(),INDEX('Time series'!EH:EH,$A$59))</f>
        <v>36.36</v>
      </c>
      <c r="EI59">
        <f>IF(INDEX('Time series'!EI:EI,$A$59)=0,NA(),INDEX('Time series'!EI:EI,$A$59))</f>
        <v>36.17</v>
      </c>
      <c r="EJ59">
        <f>IF(INDEX('Time series'!EJ:EJ,$A$59)=0,NA(),INDEX('Time series'!EJ:EJ,$A$59))</f>
        <v>36.049999999999997</v>
      </c>
      <c r="EK59">
        <f>IF(INDEX('Time series'!EK:EK,$A$59)=0,NA(),INDEX('Time series'!EK:EK,$A$59))</f>
        <v>36.130000000000003</v>
      </c>
      <c r="EL59">
        <f>IF(INDEX('Time series'!EL:EL,$A$59)=0,NA(),INDEX('Time series'!EL:EL,$A$59))</f>
        <v>36.35</v>
      </c>
      <c r="EM59">
        <f>IF(INDEX('Time series'!EM:EM,$A$59)=0,NA(),INDEX('Time series'!EM:EM,$A$59))</f>
        <v>36.229999999999997</v>
      </c>
      <c r="EN59">
        <f>IF(INDEX('Time series'!EN:EN,$A$59)=0,NA(),INDEX('Time series'!EN:EN,$A$59))</f>
        <v>36.049999999999997</v>
      </c>
      <c r="EO59">
        <f>IF(INDEX('Time series'!EO:EO,$A$59)=0,NA(),INDEX('Time series'!EO:EO,$A$59))</f>
        <v>36.22</v>
      </c>
      <c r="EP59">
        <f>IF(INDEX('Time series'!EP:EP,$A$59)=0,NA(),INDEX('Time series'!EP:EP,$A$59))</f>
        <v>36.200000000000003</v>
      </c>
      <c r="EQ59">
        <f>IF(INDEX('Time series'!EQ:EQ,$A$59)=0,NA(),INDEX('Time series'!EQ:EQ,$A$59))</f>
        <v>36.04</v>
      </c>
      <c r="ER59">
        <f>IF(INDEX('Time series'!ER:ER,$A$59)=0,NA(),INDEX('Time series'!ER:ER,$A$59))</f>
        <v>36.01</v>
      </c>
      <c r="ES59">
        <f>IF(INDEX('Time series'!ES:ES,$A$59)=0,NA(),INDEX('Time series'!ES:ES,$A$59))</f>
        <v>36.04</v>
      </c>
      <c r="ET59">
        <f>IF(INDEX('Time series'!ET:ET,$A$59)=0,NA(),INDEX('Time series'!ET:ET,$A$59))</f>
        <v>35.979999999999997</v>
      </c>
      <c r="EU59">
        <f>IF(INDEX('Time series'!EU:EU,$A$59)=0,NA(),INDEX('Time series'!EU:EU,$A$59))</f>
        <v>36.28</v>
      </c>
      <c r="EV59">
        <f>IF(INDEX('Time series'!EV:EV,$A$59)=0,NA(),INDEX('Time series'!EV:EV,$A$59))</f>
        <v>36.15</v>
      </c>
      <c r="EW59">
        <f>IF(INDEX('Time series'!EW:EW,$A$59)=0,NA(),INDEX('Time series'!EW:EW,$A$59))</f>
        <v>0.35639999999999999</v>
      </c>
      <c r="EX59">
        <f>IF(INDEX('Time series'!EX:EX,$A$59)=0,NA(),INDEX('Time series'!EX:EX,$A$59))</f>
        <v>0.35570000000000002</v>
      </c>
      <c r="EY59">
        <f>IF(INDEX('Time series'!EY:EY,$A$59)=0,NA(),INDEX('Time series'!EY:EY,$A$59))</f>
        <v>0.36</v>
      </c>
      <c r="EZ59">
        <f>IF(INDEX('Time series'!EZ:EZ,$A$59)=0,NA(),INDEX('Time series'!EZ:EZ,$A$59))</f>
        <v>0.3579</v>
      </c>
      <c r="FA59">
        <f>IF(INDEX('Time series'!FA:FA,$A$59)=0,NA(),INDEX('Time series'!FA:FA,$A$59))</f>
        <v>0.35820000000000002</v>
      </c>
      <c r="FB59">
        <f>IF(INDEX('Time series'!FB:FB,$A$59)=0,NA(),INDEX('Time series'!FB:FB,$A$59))</f>
        <v>0.35820000000000002</v>
      </c>
      <c r="FC59">
        <f>IF(INDEX('Time series'!FC:FC,$A$59)=0,NA(),INDEX('Time series'!FC:FC,$A$59))</f>
        <v>0.35399999999999998</v>
      </c>
      <c r="FD59">
        <f>IF(INDEX('Time series'!FD:FD,$A$59)=0,NA(),INDEX('Time series'!FD:FD,$A$59))</f>
        <v>0.3498</v>
      </c>
      <c r="FE59">
        <f>IF(INDEX('Time series'!FE:FE,$A$59)=0,NA(),INDEX('Time series'!FE:FE,$A$59))</f>
        <v>0.34889999999999999</v>
      </c>
      <c r="FF59">
        <f>IF(INDEX('Time series'!FF:FF,$A$59)=0,NA(),INDEX('Time series'!FF:FF,$A$59))</f>
        <v>0.35339999999999999</v>
      </c>
      <c r="FG59">
        <f>IF(INDEX('Time series'!FG:FG,$A$59)=0,NA(),INDEX('Time series'!FG:FG,$A$59))</f>
        <v>0.35699999999999998</v>
      </c>
      <c r="FH59">
        <f>IF(INDEX('Time series'!FH:FH,$A$59)=0,NA(),INDEX('Time series'!FH:FH,$A$59))</f>
        <v>0.35489999999999999</v>
      </c>
      <c r="FI59">
        <f>IF(INDEX('Time series'!FI:FI,$A$59)=0,NA(),INDEX('Time series'!FI:FI,$A$59))</f>
        <v>0.35510000000000003</v>
      </c>
      <c r="FJ59">
        <f>IF(INDEX('Time series'!FJ:FJ,$A$59)=0,NA(),INDEX('Time series'!FJ:FJ,$A$59))</f>
        <v>0.34670000000000001</v>
      </c>
      <c r="FK59">
        <f>IF(INDEX('Time series'!FK:FK,$A$59)=0,NA(),INDEX('Time series'!FK:FK,$A$59))</f>
        <v>0.3493</v>
      </c>
      <c r="FL59">
        <f>IF(INDEX('Time series'!FL:FL,$A$59)=0,NA(),INDEX('Time series'!FL:FL,$A$59))</f>
        <v>0.34599999999999997</v>
      </c>
      <c r="FM59">
        <f>IF(INDEX('Time series'!FM:FM,$A$59)=0,NA(),INDEX('Time series'!FM:FM,$A$59))</f>
        <v>0.34670000000000001</v>
      </c>
      <c r="FN59">
        <f>IF(INDEX('Time series'!FN:FN,$A$59)=0,NA(),INDEX('Time series'!FN:FN,$A$59))</f>
        <v>0.3417</v>
      </c>
      <c r="FO59">
        <f>IF(INDEX('Time series'!FO:FO,$A$59)=0,NA(),INDEX('Time series'!FO:FO,$A$59))</f>
        <v>0.34399999999999997</v>
      </c>
      <c r="FP59">
        <f>IF(INDEX('Time series'!FP:FP,$A$59)=0,NA(),INDEX('Time series'!FP:FP,$A$59))</f>
        <v>0.34100000000000003</v>
      </c>
      <c r="FQ59">
        <f>IF(INDEX('Time series'!FQ:FQ,$A$59)=0,NA(),INDEX('Time series'!FQ:FQ,$A$59))</f>
        <v>0.34449999999999997</v>
      </c>
      <c r="FR59">
        <f>IF(INDEX('Time series'!FR:FR,$A$59)=0,NA(),INDEX('Time series'!FR:FR,$A$59))</f>
        <v>0.34389999999999998</v>
      </c>
      <c r="FS59">
        <f>IF(INDEX('Time series'!FS:FS,$A$59)=0,NA(),INDEX('Time series'!FS:FS,$A$59))</f>
        <v>0.34289999999999998</v>
      </c>
      <c r="FT59">
        <f>IF(INDEX('Time series'!FT:FT,$A$59)=0,NA(),INDEX('Time series'!FT:FT,$A$59))</f>
        <v>0.34329999999999999</v>
      </c>
      <c r="FU59">
        <f>IF(INDEX('Time series'!FU:FU,$A$59)=0,NA(),INDEX('Time series'!FU:FU,$A$59))</f>
        <v>0.34589999999999999</v>
      </c>
      <c r="FV59">
        <f>IF(INDEX('Time series'!FV:FV,$A$59)=0,NA(),INDEX('Time series'!FV:FV,$A$59))</f>
        <v>0.35</v>
      </c>
      <c r="FW59">
        <f>IF(INDEX('Time series'!FW:FW,$A$59)=0,NA(),INDEX('Time series'!FW:FW,$A$59))</f>
        <v>0.35260000000000002</v>
      </c>
      <c r="FX59">
        <f>IF(INDEX('Time series'!FX:FX,$A$59)=0,NA(),INDEX('Time series'!FX:FX,$A$59))</f>
        <v>0.35060000000000002</v>
      </c>
      <c r="FY59">
        <f>IF(INDEX('Time series'!FY:FY,$A$59)=0,NA(),INDEX('Time series'!FY:FY,$A$59))</f>
        <v>0.35089999999999999</v>
      </c>
      <c r="FZ59">
        <f>IF(INDEX('Time series'!FZ:FZ,$A$59)=0,NA(),INDEX('Time series'!FZ:FZ,$A$59))</f>
        <v>0.35139999999999999</v>
      </c>
      <c r="GA59">
        <f>IF(INDEX('Time series'!GA:GA,$A$59)=0,NA(),INDEX('Time series'!GA:GA,$A$59))</f>
        <v>0.35139999999999999</v>
      </c>
      <c r="GB59">
        <f>IF(INDEX('Time series'!GB:GB,$A$59)=0,NA(),INDEX('Time series'!GB:GB,$A$59))</f>
        <v>0.35959999999999998</v>
      </c>
      <c r="GC59">
        <f>IF(INDEX('Time series'!GC:GC,$A$59)=0,NA(),INDEX('Time series'!GC:GC,$A$59))</f>
        <v>0.35349999999999998</v>
      </c>
      <c r="GD59">
        <f>IF(INDEX('Time series'!GD:GD,$A$59)=0,NA(),INDEX('Time series'!GD:GD,$A$59))</f>
        <v>0.35599999999999998</v>
      </c>
      <c r="GE59">
        <f>IF(INDEX('Time series'!GE:GE,$A$59)=0,NA(),INDEX('Time series'!GE:GE,$A$59))</f>
        <v>0.35649999999999998</v>
      </c>
      <c r="GF59">
        <f>IF(INDEX('Time series'!GF:GF,$A$59)=0,NA(),INDEX('Time series'!GF:GF,$A$59))</f>
        <v>0.35520000000000002</v>
      </c>
      <c r="GG59">
        <f>IF(INDEX('Time series'!GG:GG,$A$59)=0,NA(),INDEX('Time series'!GG:GG,$A$59))</f>
        <v>0.35610000000000003</v>
      </c>
      <c r="GH59">
        <f>IF(INDEX('Time series'!GH:GH,$A$59)=0,NA(),INDEX('Time series'!GH:GH,$A$59))</f>
        <v>0.35959999999999998</v>
      </c>
      <c r="GI59">
        <f>IF(INDEX('Time series'!GI:GI,$A$59)=0,NA(),INDEX('Time series'!GI:GI,$A$59))</f>
        <v>0.36130000000000001</v>
      </c>
      <c r="GJ59">
        <f>IF(INDEX('Time series'!GJ:GJ,$A$59)=0,NA(),INDEX('Time series'!GJ:GJ,$A$59))</f>
        <v>0.36320000000000002</v>
      </c>
      <c r="GK59">
        <f>IF(INDEX('Time series'!GK:GK,$A$59)=0,NA(),INDEX('Time series'!GK:GK,$A$59))</f>
        <v>0.3609</v>
      </c>
      <c r="GL59">
        <f>IF(INDEX('Time series'!GL:GL,$A$59)=0,NA(),INDEX('Time series'!GL:GL,$A$59))</f>
        <v>0.36009999999999998</v>
      </c>
      <c r="GM59">
        <f>IF(INDEX('Time series'!GM:GM,$A$59)=0,NA(),INDEX('Time series'!GM:GM,$A$59))</f>
        <v>0.3589</v>
      </c>
      <c r="GN59">
        <f>IF(INDEX('Time series'!GN:GN,$A$59)=0,NA(),INDEX('Time series'!GN:GN,$A$59))</f>
        <v>0.36130000000000001</v>
      </c>
      <c r="GO59">
        <f>IF(INDEX('Time series'!GO:GO,$A$59)=0,NA(),INDEX('Time series'!GO:GO,$A$59))</f>
        <v>0.36120000000000002</v>
      </c>
      <c r="GP59">
        <f>IF(INDEX('Time series'!GP:GP,$A$59)=0,NA(),INDEX('Time series'!GP:GP,$A$59))</f>
        <v>0.36230000000000001</v>
      </c>
      <c r="GQ59">
        <f>IF(INDEX('Time series'!GQ:GQ,$A$59)=0,NA(),INDEX('Time series'!GQ:GQ,$A$59))</f>
        <v>0.36470000000000002</v>
      </c>
      <c r="GR59">
        <f>IF(INDEX('Time series'!GR:GR,$A$59)=0,NA(),INDEX('Time series'!GR:GR,$A$59))</f>
        <v>0.36499999999999999</v>
      </c>
      <c r="GS59">
        <f>IF(INDEX('Time series'!GS:GS,$A$59)=0,NA(),INDEX('Time series'!GS:GS,$A$59))</f>
        <v>0.36509999999999998</v>
      </c>
      <c r="GT59">
        <f>IF(INDEX('Time series'!GT:GT,$A$59)=0,NA(),INDEX('Time series'!GT:GT,$A$59))</f>
        <v>0.36330000000000001</v>
      </c>
      <c r="GU59">
        <f>IF(INDEX('Time series'!GU:GU,$A$59)=0,NA(),INDEX('Time series'!GU:GU,$A$59))</f>
        <v>0.3619</v>
      </c>
      <c r="GV59">
        <f>IF(INDEX('Time series'!GV:GV,$A$59)=0,NA(),INDEX('Time series'!GV:GV,$A$59))</f>
        <v>0.3599</v>
      </c>
      <c r="GW59">
        <f>IF(INDEX('Time series'!GW:GW,$A$59)=0,NA(),INDEX('Time series'!GW:GW,$A$59))</f>
        <v>0.35720000000000002</v>
      </c>
      <c r="GX59">
        <f>IF(INDEX('Time series'!GX:GX,$A$59)=0,NA(),INDEX('Time series'!GX:GX,$A$59))</f>
        <v>0.34050000000000002</v>
      </c>
      <c r="GY59">
        <f>IF(INDEX('Time series'!GY:GY,$A$59)=0,NA(),INDEX('Time series'!GY:GY,$A$59))</f>
        <v>0.34760000000000002</v>
      </c>
      <c r="GZ59">
        <f>IF(INDEX('Time series'!GZ:GZ,$A$59)=0,NA(),INDEX('Time series'!GZ:GZ,$A$59))</f>
        <v>0.3427</v>
      </c>
      <c r="HA59">
        <f>IF(INDEX('Time series'!HA:HA,$A$59)=0,NA(),INDEX('Time series'!HA:HA,$A$59))</f>
        <v>0.34489999999999998</v>
      </c>
      <c r="HB59">
        <f>IF(INDEX('Time series'!HB:HB,$A$59)=0,NA(),INDEX('Time series'!HB:HB,$A$59))</f>
        <v>0.34760000000000002</v>
      </c>
      <c r="HC59">
        <f>IF(INDEX('Time series'!HC:HC,$A$59)=0,NA(),INDEX('Time series'!HC:HC,$A$59))</f>
        <v>0.3417</v>
      </c>
      <c r="HD59">
        <f>IF(INDEX('Time series'!HD:HD,$A$59)=0,NA(),INDEX('Time series'!HD:HD,$A$59))</f>
        <v>0.34760000000000002</v>
      </c>
      <c r="HE59">
        <f>IF(INDEX('Time series'!HE:HE,$A$59)=0,NA(),INDEX('Time series'!HE:HE,$A$59))</f>
        <v>0.35439999999999999</v>
      </c>
      <c r="HF59">
        <f>IF(INDEX('Time series'!HF:HF,$A$59)=0,NA(),INDEX('Time series'!HF:HF,$A$59))</f>
        <v>0.35349999999999998</v>
      </c>
      <c r="HG59">
        <f>IF(INDEX('Time series'!HG:HG,$A$59)=0,NA(),INDEX('Time series'!HG:HG,$A$59))</f>
        <v>0.35199999999999998</v>
      </c>
      <c r="HH59">
        <f>IF(INDEX('Time series'!HH:HH,$A$59)=0,NA(),INDEX('Time series'!HH:HH,$A$59))</f>
        <v>0.35139999999999999</v>
      </c>
      <c r="HI59">
        <f>IF(INDEX('Time series'!HI:HI,$A$59)=0,NA(),INDEX('Time series'!HI:HI,$A$59))</f>
        <v>0.35089999999999999</v>
      </c>
      <c r="HJ59">
        <f>IF(INDEX('Time series'!HJ:HJ,$A$59)=0,NA(),INDEX('Time series'!HJ:HJ,$A$59))</f>
        <v>0.34939999999999999</v>
      </c>
      <c r="HK59">
        <f>IF(INDEX('Time series'!HK:HK,$A$59)=0,NA(),INDEX('Time series'!HK:HK,$A$59))</f>
        <v>0.35070000000000001</v>
      </c>
      <c r="HL59">
        <f>IF(INDEX('Time series'!HL:HL,$A$59)=0,NA(),INDEX('Time series'!HL:HL,$A$59))</f>
        <v>0.35049999999999998</v>
      </c>
      <c r="HM59">
        <f>IF(INDEX('Time series'!HM:HM,$A$59)=0,NA(),INDEX('Time series'!HM:HM,$A$59))</f>
        <v>0.34970000000000001</v>
      </c>
      <c r="HN59">
        <f>IF(INDEX('Time series'!HN:HN,$A$59)=0,NA(),INDEX('Time series'!HN:HN,$A$59))</f>
        <v>0.34460000000000002</v>
      </c>
      <c r="HO59">
        <f>IF(INDEX('Time series'!HO:HO,$A$59)=0,NA(),INDEX('Time series'!HO:HO,$A$59))</f>
        <v>0.34949999999999998</v>
      </c>
      <c r="HP59">
        <f>IF(INDEX('Time series'!HP:HP,$A$59)=0,NA(),INDEX('Time series'!HP:HP,$A$59))</f>
        <v>0.35099999999999998</v>
      </c>
      <c r="HQ59">
        <f>IF(INDEX('Time series'!HQ:HQ,$A$59)=0,NA(),INDEX('Time series'!HQ:HQ,$A$59))</f>
        <v>0.35389999999999999</v>
      </c>
      <c r="HR59">
        <f>IF(INDEX('Time series'!HR:HR,$A$59)=0,NA(),INDEX('Time series'!HR:HR,$A$59))</f>
        <v>0.35499999999999998</v>
      </c>
      <c r="HS59">
        <f>IF(INDEX('Time series'!HS:HS,$A$59)=0,NA(),INDEX('Time series'!HS:HS,$A$59))</f>
        <v>0.35709999999999997</v>
      </c>
      <c r="HT59">
        <f>IF(INDEX('Time series'!HT:HT,$A$59)=0,NA(),INDEX('Time series'!HT:HT,$A$59))</f>
        <v>0.35420000000000001</v>
      </c>
      <c r="HU59">
        <f>IF(INDEX('Time series'!HU:HU,$A$59)=0,NA(),INDEX('Time series'!HU:HU,$A$59))</f>
        <v>0.3538</v>
      </c>
      <c r="HV59">
        <f>IF(INDEX('Time series'!HV:HV,$A$59)=0,NA(),INDEX('Time series'!HV:HV,$A$59))</f>
        <v>0.35820000000000002</v>
      </c>
      <c r="HW59">
        <f>IF(INDEX('Time series'!HW:HW,$A$59)=0,NA(),INDEX('Time series'!HW:HW,$A$59))</f>
        <v>0.36049999999999999</v>
      </c>
      <c r="HX59">
        <f>IF(INDEX('Time series'!HX:HX,$A$59)=0,NA(),INDEX('Time series'!HX:HX,$A$59))</f>
        <v>0.3594</v>
      </c>
      <c r="HY59">
        <f>IF(INDEX('Time series'!HY:HY,$A$59)=0,NA(),INDEX('Time series'!HY:HY,$A$59))</f>
        <v>0.35830000000000001</v>
      </c>
      <c r="HZ59">
        <f>IF(INDEX('Time series'!HZ:HZ,$A$59)=0,NA(),INDEX('Time series'!HZ:HZ,$A$59))</f>
        <v>0.35349999999999998</v>
      </c>
      <c r="IA59">
        <f>IF(INDEX('Time series'!IA:IA,$A$59)=0,NA(),INDEX('Time series'!IA:IA,$A$59))</f>
        <v>0.35780000000000001</v>
      </c>
      <c r="IB59">
        <f>IF(INDEX('Time series'!IB:IB,$A$59)=0,NA(),INDEX('Time series'!IB:IB,$A$59))</f>
        <v>0.35849999999999999</v>
      </c>
      <c r="IC59">
        <f>IF(INDEX('Time series'!IC:IC,$A$59)=0,NA(),INDEX('Time series'!IC:IC,$A$59))</f>
        <v>0.35870000000000002</v>
      </c>
      <c r="ID59">
        <f>IF(INDEX('Time series'!ID:ID,$A$59)=0,NA(),INDEX('Time series'!ID:ID,$A$59))</f>
        <v>0.35720000000000002</v>
      </c>
      <c r="IE59">
        <f>IF(INDEX('Time series'!IE:IE,$A$59)=0,NA(),INDEX('Time series'!IE:IE,$A$59))</f>
        <v>0.35439999999999999</v>
      </c>
      <c r="IF59">
        <f>IF(INDEX('Time series'!IF:IF,$A$59)=0,NA(),INDEX('Time series'!IF:IF,$A$59))</f>
        <v>0.35420000000000001</v>
      </c>
      <c r="IG59">
        <f>IF(INDEX('Time series'!IG:IG,$A$59)=0,NA(),INDEX('Time series'!IG:IG,$A$59))</f>
        <v>0.35570000000000002</v>
      </c>
      <c r="IH59" t="e">
        <f>IF(INDEX('Time series'!IH:IH,$A$59)=0,NA(),INDEX('Time series'!IH:IH,$A$59))</f>
        <v>#N/A</v>
      </c>
      <c r="II59" t="e">
        <f>IF(INDEX('Time series'!II:II,$A$59)=0,NA(),INDEX('Time series'!II:II,$A$59))</f>
        <v>#N/A</v>
      </c>
      <c r="IJ59" t="e">
        <f>IF(INDEX('Time series'!IJ:IJ,$A$59)=0,NA(),INDEX('Time series'!IJ:IJ,$A$59))</f>
        <v>#N/A</v>
      </c>
      <c r="IK59" t="e">
        <f>IF(INDEX('Time series'!IK:IK,$A$59)=0,NA(),INDEX('Time series'!IK:IK,$A$59))</f>
        <v>#N/A</v>
      </c>
      <c r="IL59" t="e">
        <f>IF(INDEX('Time series'!IL:IL,$A$59)=0,NA(),INDEX('Time series'!IL:IL,$A$59))</f>
        <v>#N/A</v>
      </c>
      <c r="IM59" t="e">
        <f>IF(INDEX('Time series'!IM:IM,$A$59)=0,NA(),INDEX('Time series'!IM:IM,$A$59))</f>
        <v>#N/A</v>
      </c>
      <c r="IN59" t="e">
        <f>IF(INDEX('Time series'!IN:IN,$A$59)=0,NA(),INDEX('Time series'!IN:IN,$A$59))</f>
        <v>#N/A</v>
      </c>
      <c r="IO59" t="e">
        <f>IF(INDEX('Time series'!IO:IO,$A$59)=0,NA(),INDEX('Time series'!IO:IO,$A$59))</f>
        <v>#N/A</v>
      </c>
      <c r="IP59" t="e">
        <f>IF(INDEX('Time series'!IP:IP,$A$59)=0,NA(),INDEX('Time series'!IP:IP,$A$59))</f>
        <v>#N/A</v>
      </c>
      <c r="IQ59" t="e">
        <f>IF(INDEX('Time series'!IQ:IQ,$A$59)=0,NA(),INDEX('Time series'!IQ:IQ,$A$59))</f>
        <v>#N/A</v>
      </c>
      <c r="IR59" t="e">
        <f>IF(INDEX('Time series'!IR:IR,$A$59)=0,NA(),INDEX('Time series'!IR:IR,$A$59))</f>
        <v>#N/A</v>
      </c>
      <c r="IS59" t="e">
        <f>IF(INDEX('Time series'!IS:IS,$A$59)=0,NA(),INDEX('Time series'!IS:IS,$A$59))</f>
        <v>#N/A</v>
      </c>
      <c r="IT59" t="e">
        <f>IF(INDEX('Time series'!IT:IT,$A$59)=0,NA(),INDEX('Time series'!IT:IT,$A$59))</f>
        <v>#N/A</v>
      </c>
      <c r="IU59" t="e">
        <f>IF(INDEX('Time series'!IU:IU,$A$59)=0,NA(),INDEX('Time series'!IU:IU,$A$59))</f>
        <v>#N/A</v>
      </c>
      <c r="IV59" t="e">
        <f>IF(INDEX('Time series'!IV:IV,$A$59)=0,NA(),INDEX('Time series'!IV:IV,$A$59))</f>
        <v>#N/A</v>
      </c>
      <c r="IW59" t="e">
        <f>IF(INDEX('Time series'!IW:IW,$A$59)=0,NA(),INDEX('Time series'!IW:IW,$A$59))</f>
        <v>#N/A</v>
      </c>
      <c r="IX59" t="e">
        <f>IF(INDEX('Time series'!IX:IX,$A$59)=0,NA(),INDEX('Time series'!IX:IX,$A$59))</f>
        <v>#N/A</v>
      </c>
      <c r="IY59" t="e">
        <f>IF(INDEX('Time series'!IY:IY,$A$59)=0,NA(),INDEX('Time series'!IY:IY,$A$59))</f>
        <v>#N/A</v>
      </c>
      <c r="IZ59" t="e">
        <f>IF(INDEX('Time series'!IZ:IZ,$A$59)=0,NA(),INDEX('Time series'!IZ:IZ,$A$59))</f>
        <v>#N/A</v>
      </c>
      <c r="JA59" t="e">
        <f>IF(INDEX('Time series'!JA:JA,$A$59)=0,NA(),INDEX('Time series'!JA:JA,$A$59))</f>
        <v>#N/A</v>
      </c>
      <c r="JB59" t="e">
        <f>IF(INDEX('Time series'!JB:JB,$A$59)=0,NA(),INDEX('Time series'!JB:JB,$A$59))</f>
        <v>#N/A</v>
      </c>
      <c r="JC59" t="e">
        <f>IF(INDEX('Time series'!JC:JC,$A$59)=0,NA(),INDEX('Time series'!JC:JC,$A$59))</f>
        <v>#N/A</v>
      </c>
      <c r="JD59" t="e">
        <f>IF(INDEX('Time series'!JD:JD,$A$59)=0,NA(),INDEX('Time series'!JD:JD,$A$59))</f>
        <v>#N/A</v>
      </c>
      <c r="JE59" t="e">
        <f>IF(INDEX('Time series'!JE:JE,$A$59)=0,NA(),INDEX('Time series'!JE:JE,$A$59))</f>
        <v>#N/A</v>
      </c>
      <c r="JF59" t="e">
        <f>IF(INDEX('Time series'!JF:JF,$A$59)=0,NA(),INDEX('Time series'!JF:JF,$A$59))</f>
        <v>#N/A</v>
      </c>
      <c r="JG59" t="e">
        <f>IF(INDEX('Time series'!JG:JG,$A$59)=0,NA(),INDEX('Time series'!JG:JG,$A$59))</f>
        <v>#N/A</v>
      </c>
      <c r="JH59" t="e">
        <f>IF(INDEX('Time series'!JH:JH,$A$59)=0,NA(),INDEX('Time series'!JH:JH,$A$59))</f>
        <v>#N/A</v>
      </c>
      <c r="JI59" t="e">
        <f>IF(INDEX('Time series'!JI:JI,$A$59)=0,NA(),INDEX('Time series'!JI:JI,$A$59))</f>
        <v>#N/A</v>
      </c>
    </row>
    <row r="61" spans="1:269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</row>
  </sheetData>
  <sortState ref="A15:M55">
    <sortCondition descending="1" ref="L15:L55"/>
  </sortState>
  <conditionalFormatting sqref="F2:F55">
    <cfRule type="cellIs" dxfId="16" priority="17" operator="greaterThan">
      <formula>0</formula>
    </cfRule>
  </conditionalFormatting>
  <conditionalFormatting sqref="C2:C55">
    <cfRule type="cellIs" dxfId="15" priority="16" operator="greaterThan">
      <formula>1</formula>
    </cfRule>
    <cfRule type="cellIs" dxfId="14" priority="15" operator="lessThan">
      <formula>0</formula>
    </cfRule>
  </conditionalFormatting>
  <conditionalFormatting sqref="D2:D55">
    <cfRule type="cellIs" dxfId="13" priority="13" operator="lessThan">
      <formula>0</formula>
    </cfRule>
    <cfRule type="cellIs" dxfId="12" priority="14" operator="greaterThan">
      <formula>1</formula>
    </cfRule>
  </conditionalFormatting>
  <conditionalFormatting sqref="B2:B55">
    <cfRule type="cellIs" dxfId="11" priority="12" operator="equal">
      <formula>"Yahoo"</formula>
    </cfRule>
  </conditionalFormatting>
  <conditionalFormatting sqref="B4:B6">
    <cfRule type="cellIs" dxfId="10" priority="11" operator="equal">
      <formula>"Yahoo"</formula>
    </cfRule>
  </conditionalFormatting>
  <conditionalFormatting sqref="L30">
    <cfRule type="cellIs" dxfId="9" priority="10" operator="greaterThan">
      <formula>0</formula>
    </cfRule>
  </conditionalFormatting>
  <conditionalFormatting sqref="B4">
    <cfRule type="cellIs" dxfId="8" priority="9" operator="equal">
      <formula>"Yahoo"</formula>
    </cfRule>
  </conditionalFormatting>
  <conditionalFormatting sqref="B7">
    <cfRule type="cellIs" dxfId="7" priority="8" operator="equal">
      <formula>"Yahoo"</formula>
    </cfRule>
  </conditionalFormatting>
  <conditionalFormatting sqref="B13:B15">
    <cfRule type="cellIs" dxfId="6" priority="7" operator="equal">
      <formula>"Yahoo"</formula>
    </cfRule>
  </conditionalFormatting>
  <conditionalFormatting sqref="B13">
    <cfRule type="cellIs" dxfId="5" priority="6" operator="equal">
      <formula>"Yahoo"</formula>
    </cfRule>
  </conditionalFormatting>
  <conditionalFormatting sqref="B16">
    <cfRule type="cellIs" dxfId="4" priority="5" operator="equal">
      <formula>"Yahoo"</formula>
    </cfRule>
  </conditionalFormatting>
  <conditionalFormatting sqref="B7:B9">
    <cfRule type="cellIs" dxfId="3" priority="4" operator="equal">
      <formula>"Yahoo"</formula>
    </cfRule>
  </conditionalFormatting>
  <conditionalFormatting sqref="B7">
    <cfRule type="cellIs" dxfId="2" priority="3" operator="equal">
      <formula>"Yahoo"</formula>
    </cfRule>
  </conditionalFormatting>
  <conditionalFormatting sqref="B10">
    <cfRule type="cellIs" dxfId="1" priority="2" operator="equal">
      <formula>"Yahoo"</formula>
    </cfRule>
  </conditionalFormatting>
  <conditionalFormatting sqref="B2:B4">
    <cfRule type="cellIs" dxfId="0" priority="1" operator="equal">
      <formula>"Yahoo"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Lapa3"/>
  <dimension ref="A1:IR10"/>
  <sheetViews>
    <sheetView workbookViewId="0">
      <selection activeCell="J19" sqref="J19"/>
    </sheetView>
  </sheetViews>
  <sheetFormatPr defaultColWidth="9.109375" defaultRowHeight="14.4"/>
  <cols>
    <col min="2" max="113" width="10.88671875" bestFit="1" customWidth="1"/>
  </cols>
  <sheetData>
    <row r="1" spans="1:252">
      <c r="B1" s="6">
        <v>44218</v>
      </c>
      <c r="C1" s="6">
        <v>44221</v>
      </c>
      <c r="D1" s="6">
        <v>44222</v>
      </c>
      <c r="E1" s="6">
        <v>44223</v>
      </c>
      <c r="F1" s="6">
        <v>44224</v>
      </c>
      <c r="G1" s="6">
        <v>44225</v>
      </c>
      <c r="H1" s="6">
        <v>44228</v>
      </c>
      <c r="I1" s="6">
        <v>44229</v>
      </c>
      <c r="J1" s="6">
        <v>44230</v>
      </c>
      <c r="K1" s="6">
        <v>44231</v>
      </c>
      <c r="L1" s="6">
        <v>44232</v>
      </c>
      <c r="M1" s="6">
        <v>44235</v>
      </c>
      <c r="N1" s="6">
        <v>44236</v>
      </c>
      <c r="O1" s="6">
        <v>44237</v>
      </c>
      <c r="P1" s="6">
        <v>44238</v>
      </c>
      <c r="Q1" s="6">
        <v>44239</v>
      </c>
      <c r="R1" s="6">
        <v>44243</v>
      </c>
      <c r="S1" s="6">
        <v>44244</v>
      </c>
      <c r="T1" s="6">
        <v>44245</v>
      </c>
      <c r="U1" s="6">
        <v>44246</v>
      </c>
      <c r="V1" s="6">
        <v>44249</v>
      </c>
      <c r="W1" s="6">
        <v>44251</v>
      </c>
      <c r="X1" s="6">
        <v>44252</v>
      </c>
      <c r="Y1" s="6">
        <v>44253</v>
      </c>
      <c r="Z1" s="6">
        <v>44256</v>
      </c>
      <c r="AA1" s="6">
        <v>44257</v>
      </c>
      <c r="AB1" s="6">
        <v>44258</v>
      </c>
      <c r="AC1" s="6">
        <v>44259</v>
      </c>
      <c r="AD1" s="6">
        <v>44260</v>
      </c>
      <c r="AE1" s="6">
        <v>44264</v>
      </c>
      <c r="AF1" s="6">
        <v>44265</v>
      </c>
      <c r="AG1" s="6">
        <v>44266</v>
      </c>
      <c r="AH1" s="6">
        <v>44267</v>
      </c>
      <c r="AI1" s="6">
        <v>44270</v>
      </c>
      <c r="AJ1" s="6">
        <v>44271</v>
      </c>
      <c r="AK1" s="6">
        <v>44272</v>
      </c>
      <c r="AL1" s="6">
        <v>44273</v>
      </c>
      <c r="AM1" s="6">
        <v>44274</v>
      </c>
      <c r="AN1" s="6">
        <v>44277</v>
      </c>
      <c r="AO1" s="6">
        <v>44278</v>
      </c>
      <c r="AP1" s="6">
        <v>44279</v>
      </c>
      <c r="AQ1" s="6">
        <v>44280</v>
      </c>
      <c r="AR1" s="6">
        <v>44281</v>
      </c>
      <c r="AS1" s="6">
        <v>44284</v>
      </c>
      <c r="AT1" s="6">
        <v>44285</v>
      </c>
      <c r="AU1" s="6">
        <v>44286</v>
      </c>
      <c r="AV1" s="6">
        <v>44287</v>
      </c>
      <c r="AW1" s="6">
        <v>44292</v>
      </c>
      <c r="AX1" s="6">
        <v>44293</v>
      </c>
      <c r="AY1" s="6">
        <v>44294</v>
      </c>
      <c r="AZ1" s="6">
        <v>44295</v>
      </c>
      <c r="BA1" s="6">
        <v>44298</v>
      </c>
      <c r="BB1" s="6">
        <v>44299</v>
      </c>
      <c r="BC1" s="6">
        <v>44300</v>
      </c>
      <c r="BD1" s="6">
        <v>44301</v>
      </c>
      <c r="BE1" s="6">
        <v>44302</v>
      </c>
      <c r="BF1" s="6">
        <v>44305</v>
      </c>
      <c r="BG1" s="6">
        <v>44306</v>
      </c>
      <c r="BH1" s="6">
        <v>44307</v>
      </c>
      <c r="BI1" s="6">
        <v>44308</v>
      </c>
      <c r="BJ1" s="6">
        <v>44309</v>
      </c>
      <c r="BK1" s="6">
        <v>44312</v>
      </c>
      <c r="BL1" s="6">
        <v>44313</v>
      </c>
      <c r="BM1" s="6">
        <v>44314</v>
      </c>
      <c r="BN1" s="6">
        <v>44315</v>
      </c>
      <c r="BO1" s="6">
        <v>44316</v>
      </c>
      <c r="BP1" s="6">
        <v>44320</v>
      </c>
      <c r="BQ1" s="6">
        <v>44321</v>
      </c>
      <c r="BR1" s="6">
        <v>44322</v>
      </c>
      <c r="BS1" s="6">
        <v>44323</v>
      </c>
      <c r="BT1" s="6">
        <v>44326</v>
      </c>
      <c r="BU1" s="6">
        <v>44327</v>
      </c>
      <c r="BV1" s="6">
        <v>44328</v>
      </c>
      <c r="BW1" s="6">
        <v>44330</v>
      </c>
      <c r="BX1" s="6">
        <v>44333</v>
      </c>
      <c r="BY1" s="6">
        <v>44334</v>
      </c>
      <c r="BZ1" s="6">
        <v>44335</v>
      </c>
      <c r="CA1" s="6">
        <v>44336</v>
      </c>
      <c r="CB1" s="6">
        <v>44337</v>
      </c>
      <c r="CC1" s="6">
        <v>44341</v>
      </c>
      <c r="CD1" s="6">
        <v>44342</v>
      </c>
      <c r="CE1" s="6">
        <v>44343</v>
      </c>
      <c r="CF1" s="6">
        <v>44344</v>
      </c>
      <c r="CG1" s="6">
        <v>44348</v>
      </c>
      <c r="CH1" s="6">
        <v>44349</v>
      </c>
      <c r="CI1" s="6">
        <v>44350</v>
      </c>
      <c r="CJ1" s="6">
        <v>44351</v>
      </c>
      <c r="CK1" s="6">
        <v>44354</v>
      </c>
      <c r="CL1" s="6">
        <v>44355</v>
      </c>
      <c r="CM1" s="6">
        <v>44356</v>
      </c>
      <c r="CN1" s="6">
        <v>44357</v>
      </c>
      <c r="CO1" s="6">
        <v>44358</v>
      </c>
      <c r="CP1" s="6">
        <v>44361</v>
      </c>
      <c r="CQ1" s="6">
        <v>44362</v>
      </c>
      <c r="CR1" s="6">
        <v>44363</v>
      </c>
      <c r="CS1" s="6">
        <v>44364</v>
      </c>
      <c r="CT1" s="6">
        <v>44365</v>
      </c>
      <c r="CU1" s="6">
        <v>44368</v>
      </c>
      <c r="CV1" s="6">
        <v>44369</v>
      </c>
      <c r="CW1" s="6">
        <v>44371</v>
      </c>
      <c r="CX1" s="6">
        <v>44372</v>
      </c>
      <c r="CY1" s="6">
        <v>44375</v>
      </c>
      <c r="CZ1" s="6">
        <v>44376</v>
      </c>
      <c r="DA1" s="6">
        <v>44377</v>
      </c>
      <c r="DB1" s="6">
        <v>44378</v>
      </c>
      <c r="DC1" s="6">
        <v>44379</v>
      </c>
      <c r="DD1" s="6">
        <v>44383</v>
      </c>
      <c r="DE1" s="6">
        <v>44384</v>
      </c>
      <c r="DF1" s="6">
        <v>44385</v>
      </c>
      <c r="DG1" s="6">
        <v>44386</v>
      </c>
      <c r="DH1" s="6">
        <v>44389</v>
      </c>
      <c r="DI1" s="6">
        <v>44390</v>
      </c>
      <c r="DJ1" s="6">
        <v>44391</v>
      </c>
      <c r="DK1" s="6">
        <v>44393</v>
      </c>
      <c r="DL1" s="6">
        <v>44396</v>
      </c>
      <c r="DM1" s="6">
        <v>44397</v>
      </c>
      <c r="DN1" s="6">
        <v>44398</v>
      </c>
      <c r="DO1" s="6">
        <v>44399</v>
      </c>
      <c r="DP1" s="6">
        <v>44400</v>
      </c>
      <c r="DQ1" s="6">
        <v>44403</v>
      </c>
      <c r="DR1" s="6">
        <v>44404</v>
      </c>
      <c r="DS1" s="6">
        <v>44405</v>
      </c>
      <c r="DT1" s="6">
        <v>44406</v>
      </c>
      <c r="DU1" s="6">
        <v>44407</v>
      </c>
      <c r="DV1" s="6">
        <v>44410</v>
      </c>
      <c r="DW1" s="6">
        <v>44411</v>
      </c>
      <c r="DX1" s="6">
        <v>44412</v>
      </c>
      <c r="DY1" s="6">
        <v>44413</v>
      </c>
      <c r="DZ1" s="6">
        <v>44414</v>
      </c>
      <c r="EA1" s="6">
        <v>44417</v>
      </c>
      <c r="EB1" s="6">
        <v>44418</v>
      </c>
      <c r="EC1" s="6">
        <v>44419</v>
      </c>
      <c r="ED1" s="6">
        <v>44420</v>
      </c>
      <c r="EE1" s="6">
        <v>44421</v>
      </c>
      <c r="EF1" s="6">
        <v>44424</v>
      </c>
      <c r="EG1" s="6">
        <v>44425</v>
      </c>
      <c r="EH1" s="6">
        <v>44426</v>
      </c>
      <c r="EI1" s="6">
        <v>44427</v>
      </c>
      <c r="EJ1" s="6">
        <v>44428</v>
      </c>
      <c r="EK1" s="6">
        <v>44431</v>
      </c>
      <c r="EL1" s="6">
        <v>44432</v>
      </c>
      <c r="EM1" s="6">
        <v>44433</v>
      </c>
      <c r="EN1" s="6">
        <v>44434</v>
      </c>
      <c r="EO1" s="6">
        <v>44435</v>
      </c>
      <c r="EP1" s="6">
        <v>44438</v>
      </c>
      <c r="EQ1" s="6">
        <v>44439</v>
      </c>
      <c r="ER1" s="6">
        <v>44440</v>
      </c>
      <c r="ES1" s="6">
        <v>44441</v>
      </c>
      <c r="ET1" s="6">
        <v>44442</v>
      </c>
      <c r="EU1" s="6">
        <v>44446</v>
      </c>
      <c r="EV1" s="6">
        <v>44447</v>
      </c>
      <c r="EW1" s="6">
        <v>44448</v>
      </c>
      <c r="EX1" s="6">
        <v>44449</v>
      </c>
      <c r="EY1" s="6">
        <v>44452</v>
      </c>
      <c r="EZ1" s="6">
        <v>44453</v>
      </c>
      <c r="FA1" s="6">
        <v>44454</v>
      </c>
      <c r="FB1" s="6">
        <v>44455</v>
      </c>
      <c r="FC1" s="6">
        <v>44456</v>
      </c>
      <c r="FD1" s="6">
        <v>44459</v>
      </c>
      <c r="FE1" s="6">
        <v>44460</v>
      </c>
      <c r="FF1" s="6">
        <v>44461</v>
      </c>
      <c r="FG1" s="6">
        <v>44462</v>
      </c>
      <c r="FH1" s="6">
        <v>44463</v>
      </c>
      <c r="FI1" s="6">
        <v>44466</v>
      </c>
      <c r="FJ1" s="6">
        <v>44467</v>
      </c>
      <c r="FK1" s="6">
        <v>44468</v>
      </c>
      <c r="FL1" s="6">
        <v>44469</v>
      </c>
      <c r="FM1" s="6">
        <v>44470</v>
      </c>
      <c r="FN1" s="6">
        <v>44473</v>
      </c>
      <c r="FO1" s="6">
        <v>44474</v>
      </c>
      <c r="FP1" s="6">
        <v>44475</v>
      </c>
      <c r="FQ1" s="6">
        <v>44476</v>
      </c>
      <c r="FR1" s="6">
        <v>44477</v>
      </c>
      <c r="FS1" s="6">
        <v>44480</v>
      </c>
      <c r="FT1" s="6">
        <v>44481</v>
      </c>
      <c r="FU1" s="6">
        <v>44482</v>
      </c>
      <c r="FV1" s="6">
        <v>44483</v>
      </c>
      <c r="FW1" s="6">
        <v>44484</v>
      </c>
      <c r="FX1" s="6">
        <v>44487</v>
      </c>
      <c r="FY1" s="6">
        <v>44488</v>
      </c>
      <c r="FZ1" s="6">
        <v>44489</v>
      </c>
      <c r="GA1" s="6">
        <v>44490</v>
      </c>
      <c r="GB1" s="6">
        <v>44491</v>
      </c>
      <c r="GC1" s="6">
        <v>44494</v>
      </c>
      <c r="GD1" s="6">
        <v>44495</v>
      </c>
      <c r="GE1" s="6">
        <v>44496</v>
      </c>
      <c r="GF1" s="6">
        <v>44497</v>
      </c>
      <c r="GG1" s="6">
        <v>44498</v>
      </c>
      <c r="GH1" s="6">
        <v>44502</v>
      </c>
      <c r="GI1" s="6">
        <v>44503</v>
      </c>
      <c r="GJ1" s="6">
        <v>44505</v>
      </c>
      <c r="GK1" s="6">
        <v>44508</v>
      </c>
      <c r="GL1" s="6">
        <v>44509</v>
      </c>
      <c r="GM1" s="6">
        <v>44510</v>
      </c>
      <c r="GN1" s="6">
        <v>44511</v>
      </c>
      <c r="GO1" s="6">
        <v>44512</v>
      </c>
      <c r="GP1" s="6">
        <v>44515</v>
      </c>
      <c r="GQ1" s="6">
        <v>44516</v>
      </c>
      <c r="GR1" s="6">
        <v>44517</v>
      </c>
      <c r="GS1" s="6">
        <v>44518</v>
      </c>
      <c r="GT1" s="6">
        <v>44519</v>
      </c>
      <c r="GU1" s="6">
        <v>44522</v>
      </c>
      <c r="GV1" s="6">
        <v>44523</v>
      </c>
      <c r="GW1" s="6">
        <v>44524</v>
      </c>
      <c r="GX1" s="6">
        <v>44526</v>
      </c>
      <c r="GY1" s="6">
        <v>44529</v>
      </c>
      <c r="GZ1" s="6">
        <v>44530</v>
      </c>
      <c r="HA1" s="6">
        <v>44531</v>
      </c>
      <c r="HB1" s="6">
        <v>44532</v>
      </c>
      <c r="HC1" s="6">
        <v>44533</v>
      </c>
      <c r="HD1" s="6">
        <v>44536</v>
      </c>
      <c r="HE1" s="6">
        <v>44537</v>
      </c>
      <c r="HF1" s="6">
        <v>44538</v>
      </c>
      <c r="HG1" s="6">
        <v>44539</v>
      </c>
      <c r="HH1" s="6">
        <v>44540</v>
      </c>
      <c r="HI1" s="6">
        <v>44543</v>
      </c>
      <c r="HJ1" s="6">
        <v>44544</v>
      </c>
      <c r="HK1" s="6">
        <v>44545</v>
      </c>
      <c r="HL1" s="6">
        <v>44546</v>
      </c>
      <c r="HM1" s="6">
        <v>44547</v>
      </c>
      <c r="HN1" s="6">
        <v>44550</v>
      </c>
      <c r="HO1" s="6">
        <v>44551</v>
      </c>
      <c r="HP1" s="6">
        <v>44552</v>
      </c>
      <c r="HQ1" s="6">
        <v>44553</v>
      </c>
      <c r="HR1" s="6">
        <v>44557</v>
      </c>
      <c r="HS1" s="6">
        <v>44558</v>
      </c>
      <c r="HT1" s="6">
        <v>44559</v>
      </c>
      <c r="HU1" s="6">
        <v>44560</v>
      </c>
      <c r="HV1" s="6">
        <v>44564</v>
      </c>
      <c r="HW1" s="6">
        <v>44565</v>
      </c>
      <c r="HX1" s="6">
        <v>44566</v>
      </c>
      <c r="HY1" s="6">
        <v>44567</v>
      </c>
      <c r="HZ1" s="6">
        <v>44571</v>
      </c>
      <c r="IA1" s="6">
        <v>44572</v>
      </c>
      <c r="IB1" s="6">
        <v>44573</v>
      </c>
      <c r="IC1" s="6">
        <v>44574</v>
      </c>
      <c r="ID1" s="6">
        <v>44575</v>
      </c>
      <c r="IE1" s="6">
        <v>44579</v>
      </c>
      <c r="IF1" s="6">
        <v>44580</v>
      </c>
      <c r="IG1" s="6">
        <v>44581</v>
      </c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</row>
    <row r="2" spans="1:252">
      <c r="A2" t="s">
        <v>27</v>
      </c>
      <c r="B2" s="7">
        <v>31.35</v>
      </c>
      <c r="C2" s="7">
        <v>30.98</v>
      </c>
      <c r="D2" s="7">
        <v>31.59</v>
      </c>
      <c r="E2" s="7">
        <v>30.69</v>
      </c>
      <c r="F2" s="7">
        <v>31.06</v>
      </c>
      <c r="G2" s="7">
        <v>30.6</v>
      </c>
      <c r="H2" s="7">
        <v>31.15</v>
      </c>
      <c r="I2" s="7">
        <v>31.49</v>
      </c>
      <c r="J2" s="7">
        <v>31.74</v>
      </c>
      <c r="K2" s="7">
        <v>32</v>
      </c>
      <c r="L2" s="7">
        <v>32</v>
      </c>
      <c r="M2" s="7">
        <v>32</v>
      </c>
      <c r="N2" s="7">
        <v>31.83</v>
      </c>
      <c r="O2" s="7">
        <v>31.71</v>
      </c>
      <c r="P2" s="7">
        <v>31.89</v>
      </c>
      <c r="Q2" s="7">
        <v>32.04</v>
      </c>
      <c r="R2" s="7">
        <v>32.19</v>
      </c>
      <c r="S2" s="7">
        <v>31.85</v>
      </c>
      <c r="T2" s="7">
        <v>31.79</v>
      </c>
      <c r="U2" s="7">
        <v>31.84</v>
      </c>
      <c r="V2" s="7">
        <v>31.76</v>
      </c>
      <c r="W2" s="7">
        <v>31.81</v>
      </c>
      <c r="X2" s="7">
        <v>31.26</v>
      </c>
      <c r="Y2" s="7">
        <v>31.5</v>
      </c>
      <c r="Z2" s="7">
        <v>31.86</v>
      </c>
      <c r="AA2" s="7">
        <v>31.95</v>
      </c>
      <c r="AB2" s="7">
        <v>31.75</v>
      </c>
      <c r="AC2" s="7">
        <v>31.57</v>
      </c>
      <c r="AD2" s="7">
        <v>31.72</v>
      </c>
      <c r="AE2" s="7">
        <v>32.49</v>
      </c>
      <c r="AF2" s="7">
        <v>32.71</v>
      </c>
      <c r="AG2" s="7">
        <v>32.799999999999997</v>
      </c>
      <c r="AH2" s="7">
        <v>32.770000000000003</v>
      </c>
      <c r="AI2" s="7">
        <v>32.770000000000003</v>
      </c>
      <c r="AJ2" s="7">
        <v>32.76</v>
      </c>
      <c r="AK2" s="7">
        <v>33.15</v>
      </c>
      <c r="AL2" s="7">
        <v>33.24</v>
      </c>
      <c r="AM2" s="7">
        <v>33.14</v>
      </c>
      <c r="AN2" s="7">
        <v>33.159999999999997</v>
      </c>
      <c r="AO2" s="7">
        <v>33.119999999999997</v>
      </c>
      <c r="AP2" s="7">
        <v>32.880000000000003</v>
      </c>
      <c r="AQ2" s="7">
        <v>33.1</v>
      </c>
      <c r="AR2" s="7">
        <v>33.43</v>
      </c>
      <c r="AS2" s="7">
        <v>33.47</v>
      </c>
      <c r="AT2" s="7">
        <v>33.68</v>
      </c>
      <c r="AU2" s="7">
        <v>33.869999999999997</v>
      </c>
      <c r="AV2" s="7">
        <v>34.19</v>
      </c>
      <c r="AW2" s="7">
        <v>34.340000000000003</v>
      </c>
      <c r="AX2" s="7">
        <v>34.32</v>
      </c>
      <c r="AY2" s="7">
        <v>34.369999999999997</v>
      </c>
      <c r="AZ2" s="7">
        <v>34.44</v>
      </c>
      <c r="BA2" s="7">
        <v>34.51</v>
      </c>
      <c r="BB2" s="7">
        <v>34.47</v>
      </c>
      <c r="BC2" s="7">
        <v>34.35</v>
      </c>
      <c r="BD2" s="7">
        <v>34.53</v>
      </c>
      <c r="BE2" s="7">
        <v>35.1</v>
      </c>
      <c r="BF2" s="7">
        <v>34.950000000000003</v>
      </c>
      <c r="BG2" s="7">
        <v>34.43</v>
      </c>
      <c r="BH2" s="7">
        <v>34.68</v>
      </c>
      <c r="BI2" s="7">
        <v>34.619999999999997</v>
      </c>
      <c r="BJ2" s="7">
        <v>34.64</v>
      </c>
      <c r="BK2" s="7">
        <v>34.799999999999997</v>
      </c>
      <c r="BL2" s="7">
        <v>34.78</v>
      </c>
      <c r="BM2" s="7">
        <v>34.75</v>
      </c>
      <c r="BN2" s="7">
        <v>34.58</v>
      </c>
      <c r="BO2" s="7">
        <v>34.44</v>
      </c>
      <c r="BP2" s="7">
        <v>34</v>
      </c>
      <c r="BQ2" s="7">
        <v>34.49</v>
      </c>
      <c r="BR2" s="7">
        <v>34.619999999999997</v>
      </c>
      <c r="BS2" s="7">
        <v>34.85</v>
      </c>
      <c r="BT2" s="7">
        <v>34.69</v>
      </c>
      <c r="BU2" s="7">
        <v>34.26</v>
      </c>
      <c r="BV2" s="7">
        <v>34.049999999999997</v>
      </c>
      <c r="BW2" s="7">
        <v>34.799999999999997</v>
      </c>
      <c r="BX2" s="7">
        <v>34.75</v>
      </c>
      <c r="BY2" s="7">
        <v>34.65</v>
      </c>
      <c r="BZ2" s="7">
        <v>34.33</v>
      </c>
      <c r="CA2" s="7">
        <v>34.72</v>
      </c>
      <c r="CB2" s="7">
        <v>34.9</v>
      </c>
      <c r="CC2" s="7">
        <v>34.700000000000003</v>
      </c>
      <c r="CD2" s="7">
        <v>34.92</v>
      </c>
      <c r="CE2" s="7">
        <v>34.97</v>
      </c>
      <c r="CF2" s="7">
        <v>35</v>
      </c>
      <c r="CG2" s="7">
        <v>35.26</v>
      </c>
      <c r="CH2" s="7">
        <v>35.25</v>
      </c>
      <c r="CI2" s="7">
        <v>35.5</v>
      </c>
      <c r="CJ2" s="7">
        <v>35.659999999999997</v>
      </c>
      <c r="CK2" s="7">
        <v>35.659999999999997</v>
      </c>
      <c r="CL2" s="7">
        <v>35.78</v>
      </c>
      <c r="CM2" s="7">
        <v>35.51</v>
      </c>
      <c r="CN2" s="7">
        <v>35.51</v>
      </c>
      <c r="CO2" s="7">
        <v>35.81</v>
      </c>
      <c r="CP2" s="7">
        <v>35.840000000000003</v>
      </c>
      <c r="CQ2" s="7">
        <v>35.9</v>
      </c>
      <c r="CR2" s="7">
        <v>35.869999999999997</v>
      </c>
      <c r="CS2" s="7">
        <v>35.880000000000003</v>
      </c>
      <c r="CT2" s="7">
        <v>35.25</v>
      </c>
      <c r="CU2" s="7">
        <v>35.68</v>
      </c>
      <c r="CV2" s="7">
        <v>35.619999999999997</v>
      </c>
      <c r="CW2" s="7">
        <v>35.590000000000003</v>
      </c>
      <c r="CX2" s="7">
        <v>35.67</v>
      </c>
      <c r="CY2" s="7">
        <v>35.61</v>
      </c>
      <c r="CZ2" s="7">
        <v>36.479999999999997</v>
      </c>
      <c r="DA2" s="7">
        <v>35.46</v>
      </c>
      <c r="DB2" s="7">
        <v>35.54</v>
      </c>
      <c r="DC2" s="7">
        <v>35.799999999999997</v>
      </c>
      <c r="DD2" s="7">
        <v>35.299999999999997</v>
      </c>
      <c r="DE2" s="7">
        <v>35.71</v>
      </c>
      <c r="DF2" s="7">
        <v>35.15</v>
      </c>
      <c r="DG2" s="7">
        <v>35.700000000000003</v>
      </c>
      <c r="DH2" s="7">
        <v>35.99</v>
      </c>
      <c r="DI2" s="7">
        <v>35.979999999999997</v>
      </c>
      <c r="DJ2">
        <v>35.86</v>
      </c>
      <c r="DK2">
        <v>35.299999999999997</v>
      </c>
      <c r="DL2">
        <v>34.549999999999997</v>
      </c>
      <c r="DM2">
        <v>34.86</v>
      </c>
      <c r="DN2">
        <v>35.229999999999997</v>
      </c>
      <c r="DO2">
        <v>35.409999999999997</v>
      </c>
      <c r="DP2">
        <v>35.78</v>
      </c>
      <c r="DQ2">
        <v>35.67</v>
      </c>
      <c r="DR2">
        <v>35.46</v>
      </c>
      <c r="DS2">
        <v>35.46</v>
      </c>
      <c r="DT2">
        <v>35.630000000000003</v>
      </c>
      <c r="DU2">
        <v>35.5</v>
      </c>
      <c r="DV2">
        <v>35.4</v>
      </c>
      <c r="DW2">
        <v>35.56</v>
      </c>
      <c r="DX2">
        <v>35.85</v>
      </c>
      <c r="DY2">
        <v>36.090000000000003</v>
      </c>
      <c r="DZ2">
        <v>36.15</v>
      </c>
      <c r="EA2">
        <v>36.130000000000003</v>
      </c>
      <c r="EB2">
        <v>36.31</v>
      </c>
      <c r="EC2">
        <v>36.44</v>
      </c>
      <c r="ED2">
        <v>36.5</v>
      </c>
      <c r="EE2">
        <v>36.67</v>
      </c>
      <c r="EF2">
        <v>36.49</v>
      </c>
      <c r="EG2">
        <v>36.299999999999997</v>
      </c>
      <c r="EH2">
        <v>36.36</v>
      </c>
      <c r="EI2">
        <v>36.17</v>
      </c>
      <c r="EJ2">
        <v>36.049999999999997</v>
      </c>
      <c r="EK2">
        <v>36.130000000000003</v>
      </c>
      <c r="EL2">
        <v>36.35</v>
      </c>
      <c r="EM2">
        <v>36.229999999999997</v>
      </c>
      <c r="EN2">
        <v>36.049999999999997</v>
      </c>
      <c r="EO2">
        <v>36.22</v>
      </c>
      <c r="EP2">
        <v>36.200000000000003</v>
      </c>
      <c r="EQ2">
        <v>36.04</v>
      </c>
      <c r="ER2">
        <v>36.01</v>
      </c>
      <c r="ES2">
        <v>36.04</v>
      </c>
      <c r="ET2">
        <v>35.979999999999997</v>
      </c>
      <c r="EU2">
        <v>36.28</v>
      </c>
      <c r="EV2">
        <v>36.15</v>
      </c>
      <c r="EW2">
        <v>0.35639999999999999</v>
      </c>
      <c r="EX2">
        <v>0.35570000000000002</v>
      </c>
      <c r="EY2">
        <v>0.36</v>
      </c>
      <c r="EZ2">
        <v>0.3579</v>
      </c>
      <c r="FA2">
        <v>0.35820000000000002</v>
      </c>
      <c r="FB2">
        <v>0.35820000000000002</v>
      </c>
      <c r="FC2">
        <v>0.35399999999999998</v>
      </c>
      <c r="FD2">
        <v>0.3498</v>
      </c>
      <c r="FE2">
        <v>0.34889999999999999</v>
      </c>
      <c r="FF2">
        <v>0.35339999999999999</v>
      </c>
      <c r="FG2">
        <v>0.35699999999999998</v>
      </c>
      <c r="FH2">
        <v>0.35489999999999999</v>
      </c>
      <c r="FI2">
        <v>0.35510000000000003</v>
      </c>
      <c r="FJ2">
        <v>0.34670000000000001</v>
      </c>
      <c r="FK2">
        <v>0.3493</v>
      </c>
      <c r="FL2">
        <v>0.34599999999999997</v>
      </c>
      <c r="FM2">
        <v>0.34670000000000001</v>
      </c>
      <c r="FN2">
        <v>0.3417</v>
      </c>
      <c r="FO2">
        <v>0.34399999999999997</v>
      </c>
      <c r="FP2">
        <v>0.34100000000000003</v>
      </c>
      <c r="FQ2">
        <v>0.34449999999999997</v>
      </c>
      <c r="FR2">
        <v>0.34389999999999998</v>
      </c>
      <c r="FS2">
        <v>0.34289999999999998</v>
      </c>
      <c r="FT2">
        <v>0.34329999999999999</v>
      </c>
      <c r="FU2">
        <v>0.34589999999999999</v>
      </c>
      <c r="FV2">
        <v>0.35</v>
      </c>
      <c r="FW2">
        <v>0.35260000000000002</v>
      </c>
      <c r="FX2">
        <v>0.35060000000000002</v>
      </c>
      <c r="FY2">
        <v>0.35089999999999999</v>
      </c>
      <c r="FZ2">
        <v>0.35139999999999999</v>
      </c>
      <c r="GA2">
        <v>0.35139999999999999</v>
      </c>
      <c r="GB2">
        <v>0.35959999999999998</v>
      </c>
      <c r="GC2">
        <v>0.35349999999999998</v>
      </c>
      <c r="GD2">
        <v>0.35599999999999998</v>
      </c>
      <c r="GE2">
        <v>0.35649999999999998</v>
      </c>
      <c r="GF2">
        <v>0.35520000000000002</v>
      </c>
      <c r="GG2">
        <v>0.35610000000000003</v>
      </c>
      <c r="GH2">
        <v>0.35959999999999998</v>
      </c>
      <c r="GI2">
        <v>0.36130000000000001</v>
      </c>
      <c r="GJ2">
        <v>0.36320000000000002</v>
      </c>
      <c r="GK2">
        <v>0.3609</v>
      </c>
      <c r="GL2">
        <v>0.36009999999999998</v>
      </c>
      <c r="GM2">
        <v>0.3589</v>
      </c>
      <c r="GN2">
        <v>0.36130000000000001</v>
      </c>
      <c r="GO2">
        <v>0.36120000000000002</v>
      </c>
      <c r="GP2">
        <v>0.36230000000000001</v>
      </c>
      <c r="GQ2">
        <v>0.36470000000000002</v>
      </c>
      <c r="GR2">
        <v>0.36499999999999999</v>
      </c>
      <c r="GS2">
        <v>0.36509999999999998</v>
      </c>
      <c r="GT2">
        <v>0.36330000000000001</v>
      </c>
      <c r="GU2">
        <v>0.3619</v>
      </c>
      <c r="GV2">
        <v>0.3599</v>
      </c>
      <c r="GW2">
        <v>0.35720000000000002</v>
      </c>
      <c r="GX2">
        <v>0.34050000000000002</v>
      </c>
      <c r="GY2">
        <v>0.34760000000000002</v>
      </c>
      <c r="GZ2">
        <v>0.3427</v>
      </c>
      <c r="HA2">
        <v>0.34489999999999998</v>
      </c>
      <c r="HB2">
        <v>0.34760000000000002</v>
      </c>
      <c r="HC2">
        <v>0.3417</v>
      </c>
      <c r="HD2">
        <v>0.34760000000000002</v>
      </c>
      <c r="HE2">
        <v>0.35439999999999999</v>
      </c>
      <c r="HF2">
        <v>0.35349999999999998</v>
      </c>
      <c r="HG2">
        <v>0.35199999999999998</v>
      </c>
      <c r="HH2">
        <v>0.35139999999999999</v>
      </c>
      <c r="HI2">
        <v>0.35089999999999999</v>
      </c>
      <c r="HJ2">
        <v>0.34939999999999999</v>
      </c>
      <c r="HK2">
        <v>0.35070000000000001</v>
      </c>
      <c r="HL2">
        <v>0.35049999999999998</v>
      </c>
      <c r="HM2">
        <v>0.34970000000000001</v>
      </c>
      <c r="HN2">
        <v>0.34460000000000002</v>
      </c>
      <c r="HO2">
        <v>0.34949999999999998</v>
      </c>
      <c r="HP2">
        <v>0.35099999999999998</v>
      </c>
      <c r="HQ2">
        <v>0.35389999999999999</v>
      </c>
      <c r="HR2">
        <v>0.35499999999999998</v>
      </c>
      <c r="HS2">
        <v>0.35709999999999997</v>
      </c>
      <c r="HT2">
        <v>0.35420000000000001</v>
      </c>
      <c r="HU2">
        <v>0.3538</v>
      </c>
      <c r="HV2">
        <v>0.35820000000000002</v>
      </c>
      <c r="HW2">
        <v>0.36049999999999999</v>
      </c>
      <c r="HX2">
        <v>0.3594</v>
      </c>
      <c r="HY2">
        <v>0.35830000000000001</v>
      </c>
      <c r="HZ2">
        <v>0.35349999999999998</v>
      </c>
      <c r="IA2">
        <v>0.35780000000000001</v>
      </c>
      <c r="IB2">
        <v>0.35849999999999999</v>
      </c>
      <c r="IC2">
        <v>0.35870000000000002</v>
      </c>
      <c r="ID2">
        <v>0.35720000000000002</v>
      </c>
      <c r="IE2">
        <v>0.35439999999999999</v>
      </c>
      <c r="IF2">
        <v>0.35420000000000001</v>
      </c>
      <c r="IG2">
        <v>0.35570000000000002</v>
      </c>
    </row>
    <row r="3" spans="1:252">
      <c r="A3" t="s">
        <v>28</v>
      </c>
      <c r="B3" s="7">
        <v>269</v>
      </c>
      <c r="C3" s="7">
        <v>266.87</v>
      </c>
      <c r="D3" s="7">
        <v>268</v>
      </c>
      <c r="E3" s="7">
        <v>265.85000000000002</v>
      </c>
      <c r="F3" s="7">
        <v>262.60000000000002</v>
      </c>
      <c r="G3" s="7">
        <v>258</v>
      </c>
      <c r="H3" s="7">
        <v>265.26</v>
      </c>
      <c r="I3" s="7">
        <v>268.97000000000003</v>
      </c>
      <c r="J3" s="7">
        <v>263.16000000000003</v>
      </c>
      <c r="K3" s="7">
        <v>265</v>
      </c>
      <c r="L3" s="7">
        <v>273</v>
      </c>
      <c r="M3" s="7">
        <v>274.94</v>
      </c>
      <c r="N3" s="7">
        <v>270.23</v>
      </c>
      <c r="O3" s="7">
        <v>269.88</v>
      </c>
      <c r="P3" s="7">
        <v>265</v>
      </c>
      <c r="Q3" s="7">
        <v>265.5</v>
      </c>
      <c r="R3" s="7">
        <v>271.2</v>
      </c>
      <c r="S3" s="7">
        <v>269.97000000000003</v>
      </c>
      <c r="T3" s="7">
        <v>267.66000000000003</v>
      </c>
      <c r="U3" s="7">
        <v>271.55</v>
      </c>
      <c r="V3" s="7">
        <v>273</v>
      </c>
      <c r="W3" s="7">
        <v>265.81</v>
      </c>
      <c r="X3" s="7">
        <v>274.05</v>
      </c>
      <c r="Y3" s="7">
        <v>270.7</v>
      </c>
      <c r="Z3" s="7">
        <v>276.05</v>
      </c>
      <c r="AA3" s="7">
        <v>277</v>
      </c>
      <c r="AB3" s="7">
        <v>277.52999999999997</v>
      </c>
      <c r="AC3" s="7">
        <v>283.88</v>
      </c>
      <c r="AD3" s="7">
        <v>276.29000000000002</v>
      </c>
      <c r="AE3" s="7">
        <v>282.45999999999998</v>
      </c>
      <c r="AF3" s="7">
        <v>283.85000000000002</v>
      </c>
      <c r="AG3" s="7">
        <v>285</v>
      </c>
      <c r="AH3" s="7">
        <v>285.39999999999998</v>
      </c>
      <c r="AI3" s="7">
        <v>291.98</v>
      </c>
      <c r="AJ3" s="7">
        <v>292.39</v>
      </c>
      <c r="AK3" s="7">
        <v>284.55</v>
      </c>
      <c r="AL3" s="7">
        <v>281.79000000000002</v>
      </c>
      <c r="AM3" s="7">
        <v>288.86</v>
      </c>
      <c r="AN3" s="7">
        <v>289.39999999999998</v>
      </c>
      <c r="AO3" s="7">
        <v>282.19</v>
      </c>
      <c r="AP3" s="7">
        <v>289.86</v>
      </c>
      <c r="AQ3" s="7">
        <v>283.58999999999997</v>
      </c>
      <c r="AR3" s="7">
        <v>286.79000000000002</v>
      </c>
      <c r="AS3" s="7">
        <v>294.82</v>
      </c>
      <c r="AT3" s="7">
        <v>294</v>
      </c>
      <c r="AU3" s="7">
        <v>291.11</v>
      </c>
      <c r="AV3" s="7">
        <v>288.60000000000002</v>
      </c>
      <c r="AW3" s="7">
        <v>283.83999999999997</v>
      </c>
      <c r="AX3" s="7">
        <v>281.02999999999997</v>
      </c>
      <c r="AY3" s="7">
        <v>282.02</v>
      </c>
      <c r="AZ3" s="7">
        <v>282.39999999999998</v>
      </c>
      <c r="BA3" s="7">
        <v>281</v>
      </c>
      <c r="BB3" s="7">
        <v>288.97000000000003</v>
      </c>
      <c r="BC3" s="7">
        <v>286.01</v>
      </c>
      <c r="BD3" s="7">
        <v>285.77999999999997</v>
      </c>
      <c r="BE3" s="7">
        <v>289</v>
      </c>
      <c r="BF3" s="7">
        <v>285.82</v>
      </c>
      <c r="BG3" s="7">
        <v>289</v>
      </c>
      <c r="BH3" s="7">
        <v>288.5</v>
      </c>
      <c r="BI3" s="7">
        <v>293.49</v>
      </c>
      <c r="BJ3" s="7">
        <v>293.99</v>
      </c>
      <c r="BK3" s="7">
        <v>291.98</v>
      </c>
      <c r="BL3" s="7">
        <v>320</v>
      </c>
      <c r="BM3" s="7">
        <v>299.02</v>
      </c>
      <c r="BN3" s="7">
        <v>297.5</v>
      </c>
      <c r="BO3" s="7">
        <v>300.5</v>
      </c>
      <c r="BP3" s="7">
        <v>288.86</v>
      </c>
      <c r="BQ3" s="7">
        <v>305</v>
      </c>
      <c r="BR3" s="7">
        <v>314.70999999999998</v>
      </c>
      <c r="BS3" s="7">
        <v>332.5</v>
      </c>
      <c r="BT3" s="7">
        <v>329</v>
      </c>
      <c r="BU3" s="7">
        <v>306.01</v>
      </c>
      <c r="BV3" s="7">
        <v>320</v>
      </c>
      <c r="BW3" s="7">
        <v>304.10000000000002</v>
      </c>
      <c r="BX3" s="7">
        <v>301.79000000000002</v>
      </c>
      <c r="BY3" s="7">
        <v>305.43</v>
      </c>
      <c r="BZ3" s="7">
        <v>294.68</v>
      </c>
      <c r="CA3" s="7">
        <v>305.97000000000003</v>
      </c>
      <c r="CB3" s="7">
        <v>301.77999999999997</v>
      </c>
      <c r="CC3" s="7">
        <v>307.19</v>
      </c>
      <c r="CD3" s="7">
        <v>308.77999999999997</v>
      </c>
      <c r="CE3" s="7">
        <v>311.98</v>
      </c>
      <c r="CF3" s="7">
        <v>325</v>
      </c>
      <c r="CG3" s="7">
        <v>314</v>
      </c>
      <c r="CH3" s="7">
        <v>313.27999999999997</v>
      </c>
      <c r="CI3" s="7">
        <v>313.49</v>
      </c>
      <c r="CJ3" s="7">
        <v>311.38</v>
      </c>
      <c r="CK3" s="7">
        <v>315.42</v>
      </c>
      <c r="CL3" s="7">
        <v>315.39</v>
      </c>
      <c r="CM3" s="7">
        <v>326.55</v>
      </c>
      <c r="CN3" s="7">
        <v>314</v>
      </c>
      <c r="CO3" s="7">
        <v>326.42</v>
      </c>
      <c r="CP3" s="7">
        <v>310.41000000000003</v>
      </c>
      <c r="CQ3" s="7">
        <v>312.13</v>
      </c>
      <c r="CR3" s="7">
        <v>312.89999999999998</v>
      </c>
      <c r="CS3" s="7">
        <v>314.45</v>
      </c>
      <c r="CT3" s="7">
        <v>309.99</v>
      </c>
      <c r="CU3" s="7">
        <v>312.77</v>
      </c>
      <c r="CV3" s="7">
        <v>313.77</v>
      </c>
      <c r="CW3" s="7">
        <v>309.33999999999997</v>
      </c>
      <c r="CX3" s="7">
        <v>309.79000000000002</v>
      </c>
      <c r="CY3" s="7">
        <v>307.13</v>
      </c>
      <c r="CZ3" s="7">
        <v>307</v>
      </c>
      <c r="DA3" s="7">
        <v>305.11</v>
      </c>
      <c r="DB3" s="7">
        <v>308.33999999999997</v>
      </c>
      <c r="DC3" s="7">
        <v>307.61</v>
      </c>
      <c r="DD3" s="7">
        <v>305</v>
      </c>
      <c r="DE3" s="7">
        <v>302.39</v>
      </c>
      <c r="DF3" s="7">
        <v>302.5</v>
      </c>
      <c r="DG3" s="7">
        <v>303.2</v>
      </c>
      <c r="DH3" s="7">
        <v>306.97000000000003</v>
      </c>
      <c r="DI3" s="7">
        <v>305.44</v>
      </c>
      <c r="DJ3">
        <v>300.83</v>
      </c>
      <c r="DK3">
        <v>299.38</v>
      </c>
      <c r="DL3">
        <v>293.22000000000003</v>
      </c>
      <c r="DM3">
        <v>293.23</v>
      </c>
      <c r="DN3">
        <v>294.01</v>
      </c>
      <c r="DO3">
        <v>299.92</v>
      </c>
      <c r="DP3">
        <v>294.79000000000002</v>
      </c>
      <c r="DQ3">
        <v>303.68</v>
      </c>
      <c r="DR3">
        <v>301.39</v>
      </c>
      <c r="DS3">
        <v>298.89</v>
      </c>
      <c r="DT3">
        <v>303.33999999999997</v>
      </c>
      <c r="DU3">
        <v>305.5</v>
      </c>
      <c r="DV3">
        <v>309.97000000000003</v>
      </c>
      <c r="DW3">
        <v>309.8</v>
      </c>
      <c r="DX3">
        <v>312.99</v>
      </c>
      <c r="DY3">
        <v>316.99</v>
      </c>
      <c r="DZ3">
        <v>319</v>
      </c>
      <c r="EA3">
        <v>327.97</v>
      </c>
      <c r="EB3">
        <v>332</v>
      </c>
      <c r="EC3">
        <v>330</v>
      </c>
      <c r="ED3">
        <v>330.57</v>
      </c>
      <c r="EE3">
        <v>329.3</v>
      </c>
      <c r="EF3">
        <v>330.54</v>
      </c>
      <c r="EG3">
        <v>335.3</v>
      </c>
      <c r="EH3">
        <v>336.02</v>
      </c>
      <c r="EI3">
        <v>331.32</v>
      </c>
      <c r="EJ3">
        <v>338.94</v>
      </c>
      <c r="EK3">
        <v>325.88</v>
      </c>
      <c r="EL3">
        <v>324.2</v>
      </c>
      <c r="EM3">
        <v>300.44</v>
      </c>
      <c r="EN3">
        <v>322</v>
      </c>
      <c r="EO3">
        <v>323.14</v>
      </c>
      <c r="EP3">
        <v>329</v>
      </c>
      <c r="EQ3">
        <v>332.14</v>
      </c>
      <c r="ER3">
        <v>334.67</v>
      </c>
      <c r="ES3">
        <v>330</v>
      </c>
      <c r="ET3">
        <v>332.95</v>
      </c>
      <c r="EU3">
        <v>324.70999999999998</v>
      </c>
      <c r="EV3">
        <v>332.29</v>
      </c>
      <c r="EW3">
        <v>327</v>
      </c>
      <c r="EX3">
        <v>330.22</v>
      </c>
      <c r="EY3">
        <v>329.89</v>
      </c>
      <c r="EZ3">
        <v>324.18</v>
      </c>
      <c r="FA3">
        <v>333</v>
      </c>
      <c r="FB3">
        <v>327.3</v>
      </c>
      <c r="FC3">
        <v>329.19</v>
      </c>
      <c r="FD3">
        <v>324.88</v>
      </c>
      <c r="FE3">
        <v>327.97</v>
      </c>
      <c r="FF3">
        <v>330.77</v>
      </c>
      <c r="FG3">
        <v>325.77999999999997</v>
      </c>
      <c r="FH3">
        <v>329.97</v>
      </c>
      <c r="FI3">
        <v>331</v>
      </c>
      <c r="FJ3">
        <v>328.01</v>
      </c>
      <c r="FK3">
        <v>328</v>
      </c>
      <c r="FL3">
        <v>340</v>
      </c>
      <c r="FM3">
        <v>336</v>
      </c>
      <c r="FN3">
        <v>347</v>
      </c>
      <c r="FO3">
        <v>359.98</v>
      </c>
      <c r="FP3">
        <v>358.43</v>
      </c>
      <c r="FQ3">
        <v>370.97</v>
      </c>
      <c r="FR3">
        <v>370.71</v>
      </c>
      <c r="FS3">
        <v>386.4</v>
      </c>
      <c r="FT3">
        <v>382.87</v>
      </c>
      <c r="FU3">
        <v>380.7</v>
      </c>
      <c r="FV3">
        <v>374.02</v>
      </c>
      <c r="FW3">
        <v>368.73</v>
      </c>
      <c r="FX3">
        <v>361.4</v>
      </c>
      <c r="FY3">
        <v>363.88</v>
      </c>
      <c r="FZ3">
        <v>373.73</v>
      </c>
      <c r="GA3">
        <v>367.95</v>
      </c>
      <c r="GB3">
        <v>363.36</v>
      </c>
      <c r="GC3">
        <v>372.73</v>
      </c>
      <c r="GD3">
        <v>375.56</v>
      </c>
      <c r="GE3">
        <v>374.72</v>
      </c>
      <c r="GF3">
        <v>366</v>
      </c>
      <c r="GG3">
        <v>354.13</v>
      </c>
      <c r="GH3">
        <v>372.74</v>
      </c>
      <c r="GI3">
        <v>370.99</v>
      </c>
      <c r="GJ3">
        <v>358.83</v>
      </c>
      <c r="GK3">
        <v>363</v>
      </c>
      <c r="GL3">
        <v>356.17</v>
      </c>
      <c r="GM3">
        <v>350</v>
      </c>
      <c r="GN3">
        <v>350.01</v>
      </c>
      <c r="GO3">
        <v>344.09</v>
      </c>
      <c r="GP3">
        <v>349.93</v>
      </c>
      <c r="GQ3">
        <v>331.96</v>
      </c>
      <c r="GR3">
        <v>354.52</v>
      </c>
      <c r="GS3">
        <v>338.4</v>
      </c>
      <c r="GT3">
        <v>323.54000000000002</v>
      </c>
      <c r="GU3">
        <v>310.47000000000003</v>
      </c>
      <c r="GV3">
        <v>332.97</v>
      </c>
      <c r="GW3">
        <v>323</v>
      </c>
      <c r="GX3">
        <v>308</v>
      </c>
      <c r="GY3">
        <v>322.58999999999997</v>
      </c>
      <c r="GZ3">
        <v>312.79000000000002</v>
      </c>
      <c r="HA3">
        <v>324.81</v>
      </c>
      <c r="HB3">
        <v>328.77</v>
      </c>
      <c r="HC3">
        <v>321.8</v>
      </c>
      <c r="HD3">
        <v>309</v>
      </c>
      <c r="HE3">
        <v>304.77999999999997</v>
      </c>
      <c r="HF3">
        <v>299.98</v>
      </c>
      <c r="HG3">
        <v>304.97000000000003</v>
      </c>
      <c r="HH3">
        <v>304.67</v>
      </c>
      <c r="HI3">
        <v>283.98</v>
      </c>
      <c r="HJ3">
        <v>285.92</v>
      </c>
      <c r="HK3">
        <v>284.49</v>
      </c>
      <c r="HL3">
        <v>297.77999999999997</v>
      </c>
      <c r="HM3">
        <v>296.95999999999998</v>
      </c>
      <c r="HN3">
        <v>290</v>
      </c>
      <c r="HO3">
        <v>291.98</v>
      </c>
      <c r="HP3">
        <v>295.64</v>
      </c>
      <c r="HQ3">
        <v>288.82</v>
      </c>
      <c r="HR3">
        <v>298.70999999999998</v>
      </c>
      <c r="HS3">
        <v>296</v>
      </c>
      <c r="HT3">
        <v>295.47000000000003</v>
      </c>
      <c r="HU3">
        <v>295.25</v>
      </c>
      <c r="HV3">
        <v>303</v>
      </c>
      <c r="HW3">
        <v>305</v>
      </c>
      <c r="HX3">
        <v>292</v>
      </c>
      <c r="HY3">
        <v>295.79000000000002</v>
      </c>
      <c r="HZ3">
        <v>294.97000000000003</v>
      </c>
      <c r="IA3">
        <v>293.92</v>
      </c>
      <c r="IB3">
        <v>290.47000000000003</v>
      </c>
      <c r="IC3">
        <v>274.97000000000003</v>
      </c>
      <c r="ID3">
        <v>261</v>
      </c>
      <c r="IE3">
        <v>238.97</v>
      </c>
      <c r="IF3">
        <v>247</v>
      </c>
      <c r="IG3">
        <v>253.63</v>
      </c>
    </row>
    <row r="4" spans="1:252">
      <c r="A4" t="s">
        <v>29</v>
      </c>
      <c r="B4" s="7">
        <v>215.55</v>
      </c>
      <c r="C4" s="7">
        <v>219.67</v>
      </c>
      <c r="D4" s="7">
        <v>218.56</v>
      </c>
      <c r="E4" s="7">
        <v>217.24</v>
      </c>
      <c r="F4" s="7">
        <v>217</v>
      </c>
      <c r="G4" s="7">
        <v>211.79</v>
      </c>
      <c r="H4" s="7">
        <v>213.2</v>
      </c>
      <c r="I4" s="7">
        <v>214.5</v>
      </c>
      <c r="J4" s="7">
        <v>216.22</v>
      </c>
      <c r="K4" s="7">
        <v>219.5</v>
      </c>
      <c r="L4" s="7">
        <v>222.01</v>
      </c>
      <c r="M4" s="7">
        <v>227.16</v>
      </c>
      <c r="N4" s="7">
        <v>224.2</v>
      </c>
      <c r="O4" s="7">
        <v>224</v>
      </c>
      <c r="P4" s="7">
        <v>222.99</v>
      </c>
      <c r="Q4" s="7">
        <v>226.53</v>
      </c>
      <c r="R4" s="7">
        <v>231</v>
      </c>
      <c r="S4" s="7">
        <v>227</v>
      </c>
      <c r="T4" s="7">
        <v>223.03</v>
      </c>
      <c r="U4" s="7">
        <v>226.46</v>
      </c>
      <c r="V4" s="7">
        <v>222.11</v>
      </c>
      <c r="W4" s="7">
        <v>222.3</v>
      </c>
      <c r="X4" s="7">
        <v>222.5</v>
      </c>
      <c r="Y4" s="7">
        <v>218.5</v>
      </c>
      <c r="Z4" s="7">
        <v>222.99</v>
      </c>
      <c r="AA4" s="7">
        <v>222.5</v>
      </c>
      <c r="AB4" s="7">
        <v>222.36</v>
      </c>
      <c r="AC4" s="7">
        <v>221.87</v>
      </c>
      <c r="AD4" s="7">
        <v>227.95</v>
      </c>
      <c r="AE4" s="7">
        <v>232.49</v>
      </c>
      <c r="AF4" s="7">
        <v>231.51</v>
      </c>
      <c r="AG4" s="7">
        <v>230.04</v>
      </c>
      <c r="AH4" s="7">
        <v>233.95</v>
      </c>
      <c r="AI4" s="7">
        <v>237</v>
      </c>
      <c r="AJ4" s="7">
        <v>233.21</v>
      </c>
      <c r="AK4" s="7">
        <v>229.97</v>
      </c>
      <c r="AL4" s="7">
        <v>224.6</v>
      </c>
      <c r="AM4" s="7">
        <v>227.77</v>
      </c>
      <c r="AN4" s="7">
        <v>222.1</v>
      </c>
      <c r="AO4" s="7">
        <v>221.55</v>
      </c>
      <c r="AP4" s="7">
        <v>223.99</v>
      </c>
      <c r="AQ4" s="7">
        <v>224.97</v>
      </c>
      <c r="AR4" s="7">
        <v>224.03</v>
      </c>
      <c r="AS4" s="7">
        <v>225.55</v>
      </c>
      <c r="AT4" s="7">
        <v>224.8</v>
      </c>
      <c r="AU4" s="7">
        <v>227.34</v>
      </c>
      <c r="AV4" s="7">
        <v>228.24</v>
      </c>
      <c r="AW4" s="7">
        <v>225.97</v>
      </c>
      <c r="AX4" s="7">
        <v>226.74</v>
      </c>
      <c r="AY4" s="7">
        <v>222.01</v>
      </c>
      <c r="AZ4" s="7">
        <v>223.99</v>
      </c>
      <c r="BA4" s="7">
        <v>223.92</v>
      </c>
      <c r="BB4" s="7">
        <v>230.66</v>
      </c>
      <c r="BC4" s="7">
        <v>235.46</v>
      </c>
      <c r="BD4" s="7">
        <v>231.1</v>
      </c>
      <c r="BE4" s="7">
        <v>231.19</v>
      </c>
      <c r="BF4" s="7">
        <v>235.03</v>
      </c>
      <c r="BG4" s="7">
        <v>233.97</v>
      </c>
      <c r="BH4" s="7">
        <v>230.39</v>
      </c>
      <c r="BI4" s="7">
        <v>231.11</v>
      </c>
      <c r="BJ4" s="7">
        <v>230.24</v>
      </c>
      <c r="BK4" s="7">
        <v>234.54</v>
      </c>
      <c r="BL4" s="7">
        <v>235.99</v>
      </c>
      <c r="BM4" s="7">
        <v>232.54</v>
      </c>
      <c r="BN4" s="7">
        <v>237.89</v>
      </c>
      <c r="BO4" s="7">
        <v>233.59</v>
      </c>
      <c r="BP4" s="7">
        <v>234.12</v>
      </c>
      <c r="BQ4" s="7">
        <v>238</v>
      </c>
      <c r="BR4" s="7">
        <v>243.23</v>
      </c>
      <c r="BS4" s="7">
        <v>244.97</v>
      </c>
      <c r="BT4" s="7">
        <v>245.45</v>
      </c>
      <c r="BU4" s="7">
        <v>247.06</v>
      </c>
      <c r="BV4" s="7">
        <v>241.25</v>
      </c>
      <c r="BW4" s="7">
        <v>247.9</v>
      </c>
      <c r="BX4" s="7">
        <v>254.94</v>
      </c>
      <c r="BY4" s="7">
        <v>263.7</v>
      </c>
      <c r="BZ4" s="7">
        <v>263.26</v>
      </c>
      <c r="CA4" s="7">
        <v>260.97000000000003</v>
      </c>
      <c r="CB4" s="7">
        <v>258.77999999999997</v>
      </c>
      <c r="CC4" s="7">
        <v>261.45999999999998</v>
      </c>
      <c r="CD4" s="7">
        <v>262.95999999999998</v>
      </c>
      <c r="CE4" s="7">
        <v>264.29000000000002</v>
      </c>
      <c r="CF4" s="7">
        <v>263.97000000000003</v>
      </c>
      <c r="CG4" s="7">
        <v>262.02999999999997</v>
      </c>
      <c r="CH4" s="7">
        <v>272.58</v>
      </c>
      <c r="CI4" s="7">
        <v>272.95999999999998</v>
      </c>
      <c r="CJ4" s="7">
        <v>274.95999999999998</v>
      </c>
      <c r="CK4" s="7">
        <v>273.19</v>
      </c>
      <c r="CL4" s="7">
        <v>275.48</v>
      </c>
      <c r="CM4" s="7">
        <v>276.36</v>
      </c>
      <c r="CN4" s="7">
        <v>276</v>
      </c>
      <c r="CO4" s="7">
        <v>277.14</v>
      </c>
      <c r="CP4" s="7">
        <v>276.38</v>
      </c>
      <c r="CQ4" s="7">
        <v>274</v>
      </c>
      <c r="CR4" s="7">
        <v>271.01</v>
      </c>
      <c r="CS4" s="7">
        <v>273.20999999999998</v>
      </c>
      <c r="CT4" s="7">
        <v>270.13</v>
      </c>
      <c r="CU4" s="7">
        <v>270.13</v>
      </c>
      <c r="CV4" s="7">
        <v>275.04000000000002</v>
      </c>
      <c r="CW4" s="7">
        <v>277.12</v>
      </c>
      <c r="CX4" s="7">
        <v>277.37</v>
      </c>
      <c r="CY4" s="7">
        <v>276.58</v>
      </c>
      <c r="CZ4" s="7">
        <v>277.42</v>
      </c>
      <c r="DA4" s="7">
        <v>280.95</v>
      </c>
      <c r="DB4" s="7">
        <v>286.63</v>
      </c>
      <c r="DC4" s="7">
        <v>282.85000000000002</v>
      </c>
      <c r="DD4" s="7">
        <v>294.13</v>
      </c>
      <c r="DE4" s="7">
        <v>297.89</v>
      </c>
      <c r="DF4" s="7">
        <v>294.7</v>
      </c>
      <c r="DG4" s="7">
        <v>296.17</v>
      </c>
      <c r="DH4" s="7">
        <v>299.81</v>
      </c>
      <c r="DI4" s="7">
        <v>292.3</v>
      </c>
      <c r="DJ4">
        <v>283.66000000000003</v>
      </c>
      <c r="DK4">
        <v>278.60000000000002</v>
      </c>
      <c r="DL4">
        <v>275</v>
      </c>
      <c r="DM4">
        <v>279.17</v>
      </c>
      <c r="DN4">
        <v>281.89</v>
      </c>
      <c r="DO4">
        <v>285.33</v>
      </c>
      <c r="DP4">
        <v>280.62</v>
      </c>
      <c r="DQ4">
        <v>278.38</v>
      </c>
      <c r="DR4">
        <v>280.27999999999997</v>
      </c>
      <c r="DS4">
        <v>281.79000000000002</v>
      </c>
      <c r="DT4">
        <v>287.2</v>
      </c>
      <c r="DU4">
        <v>288.75</v>
      </c>
      <c r="DV4">
        <v>285.98</v>
      </c>
      <c r="DW4">
        <v>288.12</v>
      </c>
      <c r="DX4">
        <v>287.52999999999997</v>
      </c>
      <c r="DY4">
        <v>288.95</v>
      </c>
      <c r="DZ4">
        <v>282.31</v>
      </c>
      <c r="EA4">
        <v>289.08999999999997</v>
      </c>
      <c r="EB4">
        <v>287.81</v>
      </c>
      <c r="EC4">
        <v>289.51</v>
      </c>
      <c r="ED4">
        <v>292.77</v>
      </c>
      <c r="EE4">
        <v>295.08</v>
      </c>
      <c r="EF4">
        <v>294.97000000000003</v>
      </c>
      <c r="EG4">
        <v>295.67</v>
      </c>
      <c r="EH4">
        <v>295.77999999999997</v>
      </c>
      <c r="EI4">
        <v>294.95999999999998</v>
      </c>
      <c r="EJ4">
        <v>293.97000000000003</v>
      </c>
      <c r="EK4">
        <v>297.99</v>
      </c>
      <c r="EL4">
        <v>297.31</v>
      </c>
      <c r="EM4">
        <v>297.27</v>
      </c>
      <c r="EN4">
        <v>293.07</v>
      </c>
      <c r="EO4">
        <v>298.89999999999998</v>
      </c>
      <c r="EP4">
        <v>305</v>
      </c>
      <c r="EQ4">
        <v>304.89999999999998</v>
      </c>
      <c r="ER4">
        <v>313</v>
      </c>
      <c r="ES4">
        <v>315.64</v>
      </c>
      <c r="ET4">
        <v>318.05</v>
      </c>
      <c r="EU4">
        <v>327.08999999999997</v>
      </c>
      <c r="EV4">
        <v>330.08</v>
      </c>
      <c r="EW4">
        <v>325.5</v>
      </c>
      <c r="EX4">
        <v>326.97000000000003</v>
      </c>
      <c r="EY4">
        <v>332</v>
      </c>
      <c r="EZ4">
        <v>338</v>
      </c>
      <c r="FA4">
        <v>344.77</v>
      </c>
      <c r="FB4">
        <v>338.03</v>
      </c>
      <c r="FC4">
        <v>339.81</v>
      </c>
      <c r="FD4">
        <v>326.95999999999998</v>
      </c>
      <c r="FE4">
        <v>335.2</v>
      </c>
      <c r="FF4">
        <v>339.88</v>
      </c>
      <c r="FG4">
        <v>342.92</v>
      </c>
      <c r="FH4">
        <v>344.49</v>
      </c>
      <c r="FI4">
        <v>354.55</v>
      </c>
      <c r="FJ4">
        <v>355</v>
      </c>
      <c r="FK4">
        <v>360</v>
      </c>
      <c r="FL4">
        <v>358.39</v>
      </c>
      <c r="FM4">
        <v>360.03</v>
      </c>
      <c r="FN4">
        <v>377.79</v>
      </c>
      <c r="FO4">
        <v>388.79</v>
      </c>
      <c r="FP4">
        <v>383.03</v>
      </c>
      <c r="FQ4">
        <v>370</v>
      </c>
      <c r="FR4">
        <v>368.96</v>
      </c>
      <c r="FS4">
        <v>368.71</v>
      </c>
      <c r="FT4">
        <v>368.87</v>
      </c>
      <c r="FU4">
        <v>364</v>
      </c>
      <c r="FV4">
        <v>367.5</v>
      </c>
      <c r="FW4">
        <v>369.78</v>
      </c>
      <c r="FX4">
        <v>366.4</v>
      </c>
      <c r="FY4">
        <v>371.36</v>
      </c>
      <c r="FZ4">
        <v>372.84</v>
      </c>
      <c r="GA4">
        <v>366</v>
      </c>
      <c r="GB4">
        <v>361.78</v>
      </c>
      <c r="GC4">
        <v>360.86</v>
      </c>
      <c r="GD4">
        <v>362.56</v>
      </c>
      <c r="GE4">
        <v>365.55</v>
      </c>
      <c r="GF4">
        <v>352.51</v>
      </c>
      <c r="GG4">
        <v>351</v>
      </c>
      <c r="GH4">
        <v>354</v>
      </c>
      <c r="GI4">
        <v>353.61</v>
      </c>
      <c r="GJ4">
        <v>350</v>
      </c>
      <c r="GK4">
        <v>356</v>
      </c>
      <c r="GL4">
        <v>347.62</v>
      </c>
      <c r="GM4">
        <v>344.65</v>
      </c>
      <c r="GN4">
        <v>349.56</v>
      </c>
      <c r="GO4">
        <v>335.08</v>
      </c>
      <c r="GP4">
        <v>336.02</v>
      </c>
      <c r="GQ4">
        <v>336.58</v>
      </c>
      <c r="GR4">
        <v>347.15</v>
      </c>
      <c r="GS4">
        <v>347.72</v>
      </c>
      <c r="GT4">
        <v>340</v>
      </c>
      <c r="GU4">
        <v>319.5</v>
      </c>
      <c r="GV4">
        <v>340</v>
      </c>
      <c r="GW4">
        <v>338.68</v>
      </c>
      <c r="GX4">
        <v>328</v>
      </c>
      <c r="GY4">
        <v>338.82</v>
      </c>
      <c r="GZ4">
        <v>333</v>
      </c>
      <c r="HA4">
        <v>347.6</v>
      </c>
      <c r="HB4">
        <v>348.99</v>
      </c>
      <c r="HC4">
        <v>345</v>
      </c>
      <c r="HD4">
        <v>339.55</v>
      </c>
      <c r="HE4">
        <v>341</v>
      </c>
      <c r="HF4">
        <v>339</v>
      </c>
      <c r="HG4">
        <v>338.5</v>
      </c>
      <c r="HH4">
        <v>337.74</v>
      </c>
      <c r="HI4">
        <v>305</v>
      </c>
      <c r="HJ4">
        <v>320.87</v>
      </c>
      <c r="HK4">
        <v>325.52</v>
      </c>
      <c r="HL4">
        <v>333.76</v>
      </c>
      <c r="HM4">
        <v>327.48</v>
      </c>
      <c r="HN4">
        <v>329.34</v>
      </c>
      <c r="HO4">
        <v>339.11</v>
      </c>
      <c r="HP4">
        <v>346.99</v>
      </c>
      <c r="HQ4">
        <v>339.9</v>
      </c>
      <c r="HR4">
        <v>342.5</v>
      </c>
      <c r="HS4">
        <v>343.67</v>
      </c>
      <c r="HT4">
        <v>344.33</v>
      </c>
      <c r="HU4">
        <v>343.46</v>
      </c>
      <c r="HV4">
        <v>354.72</v>
      </c>
      <c r="HW4">
        <v>352</v>
      </c>
      <c r="HX4">
        <v>334.99</v>
      </c>
      <c r="HY4">
        <v>345.69</v>
      </c>
      <c r="HZ4">
        <v>344.85</v>
      </c>
      <c r="IA4">
        <v>346.86</v>
      </c>
      <c r="IB4">
        <v>348.99</v>
      </c>
      <c r="IC4">
        <v>338.15</v>
      </c>
      <c r="ID4">
        <v>328.91</v>
      </c>
      <c r="IE4">
        <v>304.92</v>
      </c>
      <c r="IF4">
        <v>318.60000000000002</v>
      </c>
      <c r="IG4">
        <v>311.23</v>
      </c>
    </row>
    <row r="5" spans="1:252">
      <c r="A5" t="s">
        <v>20</v>
      </c>
      <c r="B5" s="7">
        <v>112.074997</v>
      </c>
      <c r="C5" s="7">
        <v>111.150002</v>
      </c>
      <c r="D5" s="7">
        <v>111.625</v>
      </c>
      <c r="E5" s="7">
        <v>107.3125</v>
      </c>
      <c r="F5" s="7">
        <v>108.362503</v>
      </c>
      <c r="G5" s="7">
        <v>107.537498</v>
      </c>
      <c r="H5" s="7">
        <v>107.775002</v>
      </c>
      <c r="I5" s="7">
        <v>110.612503</v>
      </c>
      <c r="J5" s="7">
        <v>112.612503</v>
      </c>
      <c r="K5" s="7">
        <v>112.650002</v>
      </c>
      <c r="L5" s="7">
        <v>113.025002</v>
      </c>
      <c r="M5" s="7">
        <v>116.75</v>
      </c>
      <c r="N5" s="7">
        <v>118.712502</v>
      </c>
      <c r="O5" s="7">
        <v>120.5</v>
      </c>
      <c r="P5" s="7">
        <v>125.550003</v>
      </c>
      <c r="Q5" s="7">
        <v>125.775002</v>
      </c>
      <c r="R5" s="7">
        <v>125.25</v>
      </c>
      <c r="S5" s="7">
        <v>123.137497</v>
      </c>
      <c r="T5" s="7">
        <v>121.800003</v>
      </c>
      <c r="U5" s="7">
        <v>124.824997</v>
      </c>
      <c r="V5" s="7">
        <v>121.737503</v>
      </c>
      <c r="W5" s="7">
        <v>116.012497</v>
      </c>
      <c r="X5" s="7">
        <v>112.974998</v>
      </c>
      <c r="Y5" s="7">
        <v>113.550003</v>
      </c>
      <c r="Z5" s="7">
        <v>114.012497</v>
      </c>
      <c r="AA5" s="7">
        <v>112.900002</v>
      </c>
      <c r="AB5" s="7">
        <v>108.4375</v>
      </c>
      <c r="AC5" s="7">
        <v>105.125</v>
      </c>
      <c r="AD5" s="7">
        <v>99.125</v>
      </c>
      <c r="AE5" s="7">
        <v>104.287498</v>
      </c>
      <c r="AF5" s="7">
        <v>106.625</v>
      </c>
      <c r="AG5" s="7">
        <v>108.387497</v>
      </c>
      <c r="AH5" s="7">
        <v>106.474998</v>
      </c>
      <c r="AI5" s="7">
        <v>109.125</v>
      </c>
      <c r="AJ5" s="7">
        <v>111.9375</v>
      </c>
      <c r="AK5" s="7">
        <v>110.112503</v>
      </c>
      <c r="AL5" s="7">
        <v>109.724998</v>
      </c>
      <c r="AM5" s="7">
        <v>107.987503</v>
      </c>
      <c r="AN5" s="7">
        <v>111.775002</v>
      </c>
      <c r="AO5" s="7">
        <v>111.337502</v>
      </c>
      <c r="AP5" s="7">
        <v>109.037498</v>
      </c>
      <c r="AQ5" s="7">
        <v>106.4375</v>
      </c>
      <c r="AR5" s="7">
        <v>106.724998</v>
      </c>
      <c r="AS5" s="7">
        <v>108.487503</v>
      </c>
      <c r="AT5" s="7">
        <v>110.4375</v>
      </c>
      <c r="AU5" s="7">
        <v>113.137497</v>
      </c>
      <c r="AV5" s="7">
        <v>116.324997</v>
      </c>
      <c r="AW5" s="7">
        <v>118.349998</v>
      </c>
      <c r="AX5" s="7">
        <v>117.525002</v>
      </c>
      <c r="AY5" s="7">
        <v>120.775002</v>
      </c>
      <c r="AZ5" s="7">
        <v>120.349998</v>
      </c>
      <c r="BA5" s="7">
        <v>119.675003</v>
      </c>
      <c r="BB5" s="7">
        <v>130</v>
      </c>
      <c r="BC5" s="7">
        <v>129.550003</v>
      </c>
      <c r="BD5" s="7">
        <v>133.22500600000001</v>
      </c>
      <c r="BE5" s="7">
        <v>133.125</v>
      </c>
      <c r="BF5" s="7">
        <v>128.449997</v>
      </c>
      <c r="BG5" s="7">
        <v>124.724998</v>
      </c>
      <c r="BH5" s="7">
        <v>126.949997</v>
      </c>
      <c r="BI5" s="7">
        <v>127.199997</v>
      </c>
      <c r="BJ5" s="7">
        <v>125.775002</v>
      </c>
      <c r="BK5" s="7">
        <v>127.400002</v>
      </c>
      <c r="BL5" s="7">
        <v>127.525002</v>
      </c>
      <c r="BM5" s="7">
        <v>126.425003</v>
      </c>
      <c r="BN5" s="7">
        <v>125.775002</v>
      </c>
      <c r="BO5" s="7">
        <v>126.275002</v>
      </c>
      <c r="BP5" s="7">
        <v>117.125</v>
      </c>
      <c r="BQ5" s="7">
        <v>122.699997</v>
      </c>
      <c r="BR5" s="7">
        <v>119.887497</v>
      </c>
      <c r="BS5" s="7">
        <v>122.412498</v>
      </c>
      <c r="BT5" s="7">
        <v>118.474998</v>
      </c>
      <c r="BU5" s="7">
        <v>116.75</v>
      </c>
      <c r="BV5" s="7">
        <v>115.862503</v>
      </c>
      <c r="BW5" s="7">
        <v>116.0625</v>
      </c>
      <c r="BX5" s="7">
        <v>115.3125</v>
      </c>
      <c r="BY5" s="7">
        <v>116.362503</v>
      </c>
      <c r="BZ5" s="7">
        <v>113.025002</v>
      </c>
      <c r="CA5" s="7">
        <v>119.387497</v>
      </c>
      <c r="CB5" s="7">
        <v>122.537498</v>
      </c>
      <c r="CC5" s="7">
        <v>126.849998</v>
      </c>
      <c r="CD5" s="7">
        <v>127.875</v>
      </c>
      <c r="CE5" s="7">
        <v>128.14999399999999</v>
      </c>
      <c r="CF5" s="7">
        <v>132.199997</v>
      </c>
      <c r="CG5" s="7">
        <v>131.35000600000001</v>
      </c>
      <c r="CH5" s="7">
        <v>137.47500600000001</v>
      </c>
      <c r="CI5" s="7">
        <v>139.050003</v>
      </c>
      <c r="CJ5" s="7">
        <v>144.39999399999999</v>
      </c>
      <c r="CK5" s="7">
        <v>142.125</v>
      </c>
      <c r="CL5" s="7">
        <v>142.324997</v>
      </c>
      <c r="CM5" s="7">
        <v>142.449997</v>
      </c>
      <c r="CN5" s="7">
        <v>142.925003</v>
      </c>
      <c r="CO5" s="7">
        <v>146.300003</v>
      </c>
      <c r="CP5" s="7">
        <v>147.27499399999999</v>
      </c>
      <c r="CQ5" s="7">
        <v>147.175003</v>
      </c>
      <c r="CR5" s="7">
        <v>147.25</v>
      </c>
      <c r="CS5" s="7">
        <v>156.97500600000001</v>
      </c>
      <c r="CT5" s="7">
        <v>160.925003</v>
      </c>
      <c r="CU5" s="7">
        <v>151</v>
      </c>
      <c r="CV5" s="7">
        <v>157.824997</v>
      </c>
      <c r="CW5" s="7">
        <v>161.97500600000001</v>
      </c>
      <c r="CX5" s="7">
        <v>159.77499399999999</v>
      </c>
      <c r="CY5" s="7">
        <v>167.5</v>
      </c>
      <c r="CZ5" s="7">
        <v>166.699997</v>
      </c>
      <c r="DA5" s="7">
        <v>167.85000600000001</v>
      </c>
      <c r="DB5" s="7">
        <v>169.5</v>
      </c>
      <c r="DC5" s="7">
        <v>172.22500600000001</v>
      </c>
      <c r="DD5" s="7">
        <v>175</v>
      </c>
      <c r="DE5" s="7">
        <v>172.85000600000001</v>
      </c>
      <c r="DF5" s="7">
        <v>168.175003</v>
      </c>
      <c r="DG5" s="7">
        <v>168.300003</v>
      </c>
      <c r="DH5" s="7">
        <v>171.925003</v>
      </c>
      <c r="DI5" s="7">
        <v>172.14999399999999</v>
      </c>
      <c r="DJ5">
        <v>168.550003</v>
      </c>
      <c r="DK5">
        <v>157.14999399999999</v>
      </c>
      <c r="DL5">
        <v>160.199997</v>
      </c>
      <c r="DM5">
        <v>157.08000200000001</v>
      </c>
      <c r="DN5">
        <v>165.03999300000001</v>
      </c>
      <c r="DO5">
        <v>164.38000500000001</v>
      </c>
      <c r="DP5">
        <v>165.240005</v>
      </c>
      <c r="DQ5">
        <v>163.520004</v>
      </c>
      <c r="DR5">
        <v>160.16000399999999</v>
      </c>
      <c r="DS5">
        <v>164.5</v>
      </c>
      <c r="DT5">
        <v>166.300003</v>
      </c>
      <c r="DU5">
        <v>163.86000100000001</v>
      </c>
      <c r="DV5">
        <v>166.94000199999999</v>
      </c>
      <c r="DW5">
        <v>163.83999600000001</v>
      </c>
      <c r="DX5">
        <v>170.08000200000001</v>
      </c>
      <c r="DY5">
        <v>173.55999800000001</v>
      </c>
      <c r="DZ5">
        <v>173.179993</v>
      </c>
      <c r="EA5">
        <v>173.179993</v>
      </c>
      <c r="EB5">
        <v>170.36000100000001</v>
      </c>
      <c r="EC5">
        <v>166.759995</v>
      </c>
      <c r="ED5">
        <v>170.16000399999999</v>
      </c>
      <c r="EE5">
        <v>170.36000100000001</v>
      </c>
      <c r="EF5">
        <v>166.679993</v>
      </c>
      <c r="EG5">
        <v>166.61999499999999</v>
      </c>
      <c r="EH5">
        <v>165.479996</v>
      </c>
      <c r="EI5">
        <v>172.740005</v>
      </c>
      <c r="EJ5">
        <v>174.740005</v>
      </c>
      <c r="EK5">
        <v>184.63999899999999</v>
      </c>
      <c r="EL5">
        <v>185.020004</v>
      </c>
      <c r="EM5">
        <v>190.44000199999999</v>
      </c>
      <c r="EN5">
        <v>187.220001</v>
      </c>
      <c r="EO5">
        <v>190.61999499999999</v>
      </c>
      <c r="EP5">
        <v>192</v>
      </c>
      <c r="EQ5">
        <v>189.89999399999999</v>
      </c>
      <c r="ER5">
        <v>190.11999499999999</v>
      </c>
      <c r="ES5">
        <v>190.39999399999999</v>
      </c>
      <c r="ET5">
        <v>192.479996</v>
      </c>
      <c r="EU5">
        <v>192.13999899999999</v>
      </c>
      <c r="EV5">
        <v>187.39999399999999</v>
      </c>
      <c r="EW5">
        <v>188.91999799999999</v>
      </c>
      <c r="EX5">
        <v>189.259995</v>
      </c>
      <c r="EY5">
        <v>187.279999</v>
      </c>
      <c r="EZ5">
        <v>188.779999</v>
      </c>
      <c r="FA5">
        <v>186.479996</v>
      </c>
      <c r="FB5">
        <v>187.08000200000001</v>
      </c>
      <c r="FC5">
        <v>187.46000699999999</v>
      </c>
      <c r="FD5">
        <v>180</v>
      </c>
      <c r="FE5">
        <v>181.94000199999999</v>
      </c>
      <c r="FF5">
        <v>184.800003</v>
      </c>
      <c r="FG5">
        <v>189.740005</v>
      </c>
      <c r="FH5">
        <v>186.699997</v>
      </c>
      <c r="FI5">
        <v>184.46000699999999</v>
      </c>
      <c r="FJ5">
        <v>178</v>
      </c>
      <c r="FK5">
        <v>177.05999800000001</v>
      </c>
      <c r="FL5">
        <v>179.979996</v>
      </c>
      <c r="FM5">
        <v>177.020004</v>
      </c>
      <c r="FN5">
        <v>170.740005</v>
      </c>
      <c r="FO5">
        <v>176</v>
      </c>
      <c r="FP5">
        <v>177.44000199999999</v>
      </c>
      <c r="FQ5">
        <v>183.38000500000001</v>
      </c>
      <c r="FR5">
        <v>181.300003</v>
      </c>
      <c r="FS5">
        <v>181.199997</v>
      </c>
      <c r="FT5">
        <v>179.61999499999999</v>
      </c>
      <c r="FU5">
        <v>179.33999600000001</v>
      </c>
      <c r="FV5">
        <v>185.740005</v>
      </c>
      <c r="FW5">
        <v>188.33999600000001</v>
      </c>
      <c r="FX5">
        <v>190.699997</v>
      </c>
      <c r="FY5">
        <v>191.36000100000001</v>
      </c>
      <c r="FZ5">
        <v>190.36000100000001</v>
      </c>
      <c r="GA5">
        <v>192.679993</v>
      </c>
      <c r="GB5">
        <v>195.58000200000001</v>
      </c>
      <c r="GC5">
        <v>198.179993</v>
      </c>
      <c r="GD5">
        <v>213.550003</v>
      </c>
      <c r="GE5">
        <v>214.449997</v>
      </c>
      <c r="GF5">
        <v>211.14999399999999</v>
      </c>
      <c r="GG5">
        <v>219.800003</v>
      </c>
      <c r="GH5">
        <v>228.949997</v>
      </c>
      <c r="GI5">
        <v>228.25</v>
      </c>
      <c r="GJ5">
        <v>264.10000600000001</v>
      </c>
      <c r="GK5">
        <v>266.60000600000001</v>
      </c>
      <c r="GL5">
        <v>271.89999399999999</v>
      </c>
      <c r="GM5">
        <v>259.54998799999998</v>
      </c>
      <c r="GN5">
        <v>262.75</v>
      </c>
      <c r="GO5">
        <v>266.79998799999998</v>
      </c>
      <c r="GP5">
        <v>262.14999399999999</v>
      </c>
      <c r="GQ5">
        <v>267.20001200000002</v>
      </c>
      <c r="GR5">
        <v>265.79998799999998</v>
      </c>
      <c r="GS5">
        <v>284.5</v>
      </c>
      <c r="GT5">
        <v>288</v>
      </c>
      <c r="GU5">
        <v>295.79998799999998</v>
      </c>
      <c r="GV5">
        <v>278.64999399999999</v>
      </c>
      <c r="GW5">
        <v>288.64999399999999</v>
      </c>
      <c r="GX5">
        <v>279.89999399999999</v>
      </c>
      <c r="GY5">
        <v>289.54998799999998</v>
      </c>
      <c r="GZ5">
        <v>283.89999399999999</v>
      </c>
      <c r="HA5">
        <v>292.79998799999998</v>
      </c>
      <c r="HB5">
        <v>281.70001200000002</v>
      </c>
      <c r="HC5">
        <v>271.64999399999999</v>
      </c>
      <c r="HD5">
        <v>260.29998799999998</v>
      </c>
      <c r="HE5">
        <v>260.29998799999998</v>
      </c>
      <c r="HF5">
        <v>283.29998799999998</v>
      </c>
      <c r="HG5">
        <v>280.10000600000001</v>
      </c>
      <c r="HH5">
        <v>266.04998799999998</v>
      </c>
      <c r="HI5">
        <v>257.20001200000002</v>
      </c>
      <c r="HJ5">
        <v>248.449997</v>
      </c>
      <c r="HK5">
        <v>253.75</v>
      </c>
      <c r="HL5">
        <v>254.25</v>
      </c>
      <c r="HM5">
        <v>252.199997</v>
      </c>
      <c r="HN5">
        <v>242.64999399999999</v>
      </c>
      <c r="HO5">
        <v>247.800003</v>
      </c>
      <c r="HP5">
        <v>259.70001200000002</v>
      </c>
      <c r="HQ5">
        <v>265.70001200000002</v>
      </c>
      <c r="HR5">
        <v>271.5</v>
      </c>
      <c r="HS5">
        <v>266.85000600000001</v>
      </c>
      <c r="HT5">
        <v>261.89999399999999</v>
      </c>
      <c r="HU5">
        <v>264.79998799999998</v>
      </c>
      <c r="HV5">
        <v>269.04998799999998</v>
      </c>
      <c r="HW5">
        <v>255.050003</v>
      </c>
      <c r="HX5">
        <v>251.89999399999999</v>
      </c>
      <c r="HY5">
        <v>247.050003</v>
      </c>
      <c r="HZ5">
        <v>231.050003</v>
      </c>
      <c r="IA5">
        <v>244.050003</v>
      </c>
      <c r="IB5">
        <v>244.75</v>
      </c>
      <c r="IC5">
        <v>238.300003</v>
      </c>
      <c r="ID5">
        <v>236.449997</v>
      </c>
      <c r="IE5">
        <v>231.300003</v>
      </c>
      <c r="IF5">
        <v>222.800003</v>
      </c>
      <c r="IG5">
        <v>224.300003</v>
      </c>
    </row>
    <row r="6" spans="1:252">
      <c r="A6" t="s">
        <v>0</v>
      </c>
      <c r="B6" s="7">
        <v>569.45001200000002</v>
      </c>
      <c r="C6" s="7">
        <v>567.60998500000005</v>
      </c>
      <c r="D6" s="7">
        <v>549</v>
      </c>
      <c r="E6" s="7">
        <v>524.63000499999998</v>
      </c>
      <c r="F6" s="7">
        <v>547.21997099999999</v>
      </c>
      <c r="G6" s="7">
        <v>534.15997300000004</v>
      </c>
      <c r="H6" s="7">
        <v>554.39001499999995</v>
      </c>
      <c r="I6" s="7">
        <v>553.5</v>
      </c>
      <c r="J6" s="7">
        <v>542.90997300000004</v>
      </c>
      <c r="K6" s="7">
        <v>555.44000200000005</v>
      </c>
      <c r="L6" s="7">
        <v>552.80999799999995</v>
      </c>
      <c r="M6" s="7">
        <v>564</v>
      </c>
      <c r="N6" s="7">
        <v>565.5</v>
      </c>
      <c r="O6" s="7">
        <v>566.89001499999995</v>
      </c>
      <c r="P6" s="7">
        <v>591.51000999999997</v>
      </c>
      <c r="Q6" s="7">
        <v>597.98999000000003</v>
      </c>
      <c r="R6" s="7">
        <v>603.14001499999995</v>
      </c>
      <c r="S6" s="7">
        <v>587.580017</v>
      </c>
      <c r="T6" s="7">
        <v>582.47997999999995</v>
      </c>
      <c r="U6" s="7">
        <v>594.40002400000003</v>
      </c>
      <c r="V6" s="7">
        <v>578.5</v>
      </c>
      <c r="W6" s="7">
        <v>595.01000999999997</v>
      </c>
      <c r="X6" s="7">
        <v>559.77002000000005</v>
      </c>
      <c r="Y6" s="7">
        <v>567.09002699999996</v>
      </c>
      <c r="Z6" s="7">
        <v>583.54998799999998</v>
      </c>
      <c r="AA6" s="7">
        <v>563.14001499999995</v>
      </c>
      <c r="AB6" s="7">
        <v>543.59997599999997</v>
      </c>
      <c r="AC6" s="7">
        <v>510.5</v>
      </c>
      <c r="AD6" s="7">
        <v>527.03997800000002</v>
      </c>
      <c r="AE6" s="7">
        <v>539.52002000000005</v>
      </c>
      <c r="AF6" s="7">
        <v>523.330017</v>
      </c>
      <c r="AG6" s="7">
        <v>544.40002400000003</v>
      </c>
      <c r="AH6" s="7">
        <v>537.63000499999998</v>
      </c>
      <c r="AI6" s="7">
        <v>547.19000200000005</v>
      </c>
      <c r="AJ6" s="7">
        <v>549.38000499999998</v>
      </c>
      <c r="AK6" s="7">
        <v>559.57000700000003</v>
      </c>
      <c r="AL6" s="7">
        <v>539.19000200000005</v>
      </c>
      <c r="AM6" s="7">
        <v>547.419983</v>
      </c>
      <c r="AN6" s="7">
        <v>575.98999000000003</v>
      </c>
      <c r="AO6" s="7">
        <v>558.86999500000002</v>
      </c>
      <c r="AP6" s="7">
        <v>578.580017</v>
      </c>
      <c r="AQ6" s="7">
        <v>584</v>
      </c>
      <c r="AR6" s="7">
        <v>625.669983</v>
      </c>
      <c r="AS6" s="7">
        <v>608</v>
      </c>
      <c r="AT6" s="7">
        <v>601.28997800000002</v>
      </c>
      <c r="AU6" s="7">
        <v>617.35998500000005</v>
      </c>
      <c r="AV6" s="7">
        <v>637.09997599999997</v>
      </c>
      <c r="AW6" s="7">
        <v>628</v>
      </c>
      <c r="AX6" s="7">
        <v>626.55999799999995</v>
      </c>
      <c r="AY6" s="7">
        <v>639.88000499999998</v>
      </c>
      <c r="AZ6" s="7">
        <v>634.32000700000003</v>
      </c>
      <c r="BA6" s="7">
        <v>630.42999299999997</v>
      </c>
      <c r="BB6" s="7">
        <v>629.11999500000002</v>
      </c>
      <c r="BC6" s="7">
        <v>630.98999000000003</v>
      </c>
      <c r="BD6" s="7">
        <v>642.09002699999996</v>
      </c>
      <c r="BE6" s="7">
        <v>645.69000200000005</v>
      </c>
      <c r="BF6" s="7">
        <v>630.10998500000005</v>
      </c>
      <c r="BG6" s="7">
        <v>616.94000200000005</v>
      </c>
      <c r="BH6" s="7">
        <v>655.48999000000003</v>
      </c>
      <c r="BI6" s="7">
        <v>647.09002699999996</v>
      </c>
      <c r="BJ6" s="7">
        <v>670.90997300000004</v>
      </c>
      <c r="BK6" s="7">
        <v>670.44000200000005</v>
      </c>
      <c r="BL6" s="7">
        <v>672.80999799999995</v>
      </c>
      <c r="BM6" s="7">
        <v>665.34002699999996</v>
      </c>
      <c r="BN6" s="7">
        <v>662.47997999999995</v>
      </c>
      <c r="BO6" s="7">
        <v>648.09997599999997</v>
      </c>
      <c r="BP6" s="7">
        <v>629</v>
      </c>
      <c r="BQ6" s="7">
        <v>641.88000499999998</v>
      </c>
      <c r="BR6" s="7">
        <v>644.34002699999996</v>
      </c>
      <c r="BS6" s="7">
        <v>658.57000700000003</v>
      </c>
      <c r="BT6" s="7">
        <v>627.26000999999997</v>
      </c>
      <c r="BU6" s="7">
        <v>630.65997300000004</v>
      </c>
      <c r="BV6" s="7">
        <v>601.88000499999998</v>
      </c>
      <c r="BW6" s="7">
        <v>647.76000999999997</v>
      </c>
      <c r="BX6" s="7">
        <v>635.34997599999997</v>
      </c>
      <c r="BY6" s="7">
        <v>632.19000200000005</v>
      </c>
      <c r="BZ6" s="7">
        <v>630.78002900000001</v>
      </c>
      <c r="CA6" s="7">
        <v>648.77002000000005</v>
      </c>
      <c r="CB6" s="7">
        <v>639.21997099999999</v>
      </c>
      <c r="CC6" s="7">
        <v>672.28997800000002</v>
      </c>
      <c r="CD6" s="7">
        <v>665.77002000000005</v>
      </c>
      <c r="CE6" s="7">
        <v>665.09002699999996</v>
      </c>
      <c r="CF6" s="7">
        <v>675.46997099999999</v>
      </c>
      <c r="CG6" s="7">
        <v>671.79998799999998</v>
      </c>
      <c r="CH6" s="7">
        <v>674.09002699999996</v>
      </c>
      <c r="CI6" s="7">
        <v>665.89001499999995</v>
      </c>
      <c r="CJ6" s="7">
        <v>683.29998799999998</v>
      </c>
      <c r="CK6" s="7">
        <v>681.97997999999995</v>
      </c>
      <c r="CL6" s="7">
        <v>680.72997999999995</v>
      </c>
      <c r="CM6" s="7">
        <v>682.59002699999996</v>
      </c>
      <c r="CN6" s="7">
        <v>699.94000200000005</v>
      </c>
      <c r="CO6" s="7">
        <v>697.03002900000001</v>
      </c>
      <c r="CP6" s="7">
        <v>709.330017</v>
      </c>
      <c r="CQ6" s="7">
        <v>701.78002900000001</v>
      </c>
      <c r="CR6" s="7">
        <v>699.04998799999998</v>
      </c>
      <c r="CS6" s="7">
        <v>698.830017</v>
      </c>
      <c r="CT6" s="7">
        <v>671.07000700000003</v>
      </c>
      <c r="CU6" s="7">
        <v>680.65002400000003</v>
      </c>
      <c r="CV6" s="7">
        <v>685.80999799999995</v>
      </c>
      <c r="CW6" s="7">
        <v>695</v>
      </c>
      <c r="CX6" s="7">
        <v>686.21002199999998</v>
      </c>
      <c r="CY6" s="7">
        <v>704.10998500000005</v>
      </c>
      <c r="CZ6" s="7">
        <v>703.67999299999997</v>
      </c>
      <c r="DA6" s="7">
        <v>690.84002699999996</v>
      </c>
      <c r="DB6" s="7">
        <v>679.30999799999995</v>
      </c>
      <c r="DC6" s="7">
        <v>687.53997800000002</v>
      </c>
      <c r="DD6" s="7">
        <v>685.86999500000002</v>
      </c>
      <c r="DE6" s="7">
        <v>690.17999299999997</v>
      </c>
      <c r="DF6" s="7">
        <v>673.69000200000005</v>
      </c>
      <c r="DG6" s="7">
        <v>691.35998500000005</v>
      </c>
      <c r="DH6" s="7">
        <v>707.80999799999995</v>
      </c>
      <c r="DI6" s="7">
        <v>706.419983</v>
      </c>
      <c r="DJ6">
        <v>716.51000999999997</v>
      </c>
      <c r="DK6">
        <v>687.419983</v>
      </c>
      <c r="DL6">
        <v>684</v>
      </c>
      <c r="DM6">
        <v>684.04998799999998</v>
      </c>
      <c r="DN6">
        <v>721</v>
      </c>
      <c r="DO6">
        <v>729.919983</v>
      </c>
      <c r="DP6">
        <v>748.14001499999995</v>
      </c>
      <c r="DQ6">
        <v>754.09002699999996</v>
      </c>
      <c r="DR6">
        <v>745.59997599999997</v>
      </c>
      <c r="DS6">
        <v>759.85998500000005</v>
      </c>
      <c r="DT6">
        <v>765.71002199999998</v>
      </c>
      <c r="DU6">
        <v>766.73999000000003</v>
      </c>
      <c r="DV6">
        <v>769.65002400000003</v>
      </c>
      <c r="DW6">
        <v>779.53002900000001</v>
      </c>
      <c r="DX6">
        <v>795.47997999999995</v>
      </c>
      <c r="DY6">
        <v>794.75</v>
      </c>
      <c r="DZ6">
        <v>783.28002900000001</v>
      </c>
      <c r="EA6">
        <v>788.67999299999997</v>
      </c>
      <c r="EB6">
        <v>789.28997800000002</v>
      </c>
      <c r="EC6">
        <v>789.21997099999999</v>
      </c>
      <c r="ED6">
        <v>781.07000700000003</v>
      </c>
      <c r="EE6">
        <v>788.96002199999998</v>
      </c>
      <c r="EF6">
        <v>787.34997599999997</v>
      </c>
      <c r="EG6">
        <v>776.55999799999995</v>
      </c>
      <c r="EH6">
        <v>772.45001200000002</v>
      </c>
      <c r="EI6">
        <v>781.51000999999997</v>
      </c>
      <c r="EJ6">
        <v>788.17999299999997</v>
      </c>
      <c r="EK6">
        <v>811.61999500000002</v>
      </c>
      <c r="EL6">
        <v>805.60998500000005</v>
      </c>
      <c r="EM6">
        <v>807.86999500000002</v>
      </c>
      <c r="EN6">
        <v>810.94000200000005</v>
      </c>
      <c r="EO6">
        <v>832.919983</v>
      </c>
      <c r="EP6">
        <v>839.59002699999996</v>
      </c>
      <c r="EQ6">
        <v>833.03997800000002</v>
      </c>
      <c r="ER6">
        <v>842.169983</v>
      </c>
      <c r="ES6">
        <v>861.28002900000001</v>
      </c>
      <c r="ET6">
        <v>858.10998500000005</v>
      </c>
      <c r="EU6">
        <v>861.77002000000005</v>
      </c>
      <c r="EV6">
        <v>857.98999000000003</v>
      </c>
      <c r="EW6">
        <v>853.5</v>
      </c>
      <c r="EX6">
        <v>858.86999500000002</v>
      </c>
      <c r="EY6">
        <v>871.23999000000003</v>
      </c>
      <c r="EZ6">
        <v>888.07000700000003</v>
      </c>
      <c r="FA6">
        <v>889.330017</v>
      </c>
      <c r="FB6">
        <v>887.30999799999995</v>
      </c>
      <c r="FC6">
        <v>859.84997599999997</v>
      </c>
      <c r="FD6">
        <v>840.73999000000003</v>
      </c>
      <c r="FE6">
        <v>854.72997999999995</v>
      </c>
      <c r="FF6">
        <v>864.73999000000003</v>
      </c>
      <c r="FG6">
        <v>879.78002900000001</v>
      </c>
      <c r="FH6">
        <v>868.82000700000003</v>
      </c>
      <c r="FI6">
        <v>835.30999799999995</v>
      </c>
      <c r="FJ6">
        <v>780.169983</v>
      </c>
      <c r="FK6">
        <v>750.419983</v>
      </c>
      <c r="FL6">
        <v>745.10998500000005</v>
      </c>
      <c r="FM6">
        <v>741.80999799999995</v>
      </c>
      <c r="FN6">
        <v>712.94000200000005</v>
      </c>
      <c r="FO6">
        <v>732.86999500000002</v>
      </c>
      <c r="FP6">
        <v>732.5</v>
      </c>
      <c r="FQ6">
        <v>746.82000700000003</v>
      </c>
      <c r="FR6">
        <v>730.27002000000005</v>
      </c>
      <c r="FS6">
        <v>721.89001499999995</v>
      </c>
      <c r="FT6">
        <v>725.04998799999998</v>
      </c>
      <c r="FU6">
        <v>744.419983</v>
      </c>
      <c r="FV6">
        <v>778.28997800000002</v>
      </c>
      <c r="FW6">
        <v>789.40002400000003</v>
      </c>
      <c r="FX6">
        <v>788.21997099999999</v>
      </c>
      <c r="FY6">
        <v>800.96002199999998</v>
      </c>
      <c r="FZ6">
        <v>767.70001200000002</v>
      </c>
      <c r="GA6">
        <v>787.55999799999995</v>
      </c>
      <c r="GB6">
        <v>800.96997099999999</v>
      </c>
      <c r="GC6">
        <v>788.44000200000005</v>
      </c>
      <c r="GD6">
        <v>791.22997999999995</v>
      </c>
      <c r="GE6">
        <v>801</v>
      </c>
      <c r="GF6">
        <v>813.19000200000005</v>
      </c>
      <c r="GG6">
        <v>812.88000499999998</v>
      </c>
      <c r="GH6">
        <v>812.02002000000005</v>
      </c>
      <c r="GI6">
        <v>830.02002000000005</v>
      </c>
      <c r="GJ6">
        <v>847</v>
      </c>
      <c r="GK6">
        <v>849.92999299999997</v>
      </c>
      <c r="GL6">
        <v>850.04998799999998</v>
      </c>
      <c r="GM6">
        <v>817.84997599999997</v>
      </c>
      <c r="GN6">
        <v>833.39001499999995</v>
      </c>
      <c r="GO6">
        <v>851.63000499999998</v>
      </c>
      <c r="GP6">
        <v>856.71997099999999</v>
      </c>
      <c r="GQ6">
        <v>860.54998799999998</v>
      </c>
      <c r="GR6">
        <v>859.46002199999998</v>
      </c>
      <c r="GS6">
        <v>879.11999500000002</v>
      </c>
      <c r="GT6">
        <v>857.169983</v>
      </c>
      <c r="GU6">
        <v>825.75</v>
      </c>
      <c r="GV6">
        <v>807.47997999999995</v>
      </c>
      <c r="GW6">
        <v>802.39001499999995</v>
      </c>
      <c r="GX6">
        <v>782.02002000000005</v>
      </c>
      <c r="GY6">
        <v>815.01000999999997</v>
      </c>
      <c r="GZ6">
        <v>791.51000999999997</v>
      </c>
      <c r="HA6">
        <v>804</v>
      </c>
      <c r="HB6">
        <v>789.38000499999998</v>
      </c>
      <c r="HC6">
        <v>771.52002000000005</v>
      </c>
      <c r="HD6">
        <v>756.39001499999995</v>
      </c>
      <c r="HE6">
        <v>806.01000999999997</v>
      </c>
      <c r="HF6">
        <v>803.919983</v>
      </c>
      <c r="HG6">
        <v>772.60998500000005</v>
      </c>
      <c r="HH6">
        <v>781.84002699999996</v>
      </c>
      <c r="HI6">
        <v>764.46997099999999</v>
      </c>
      <c r="HJ6">
        <v>754.39001499999995</v>
      </c>
      <c r="HK6">
        <v>792.21997099999999</v>
      </c>
      <c r="HL6">
        <v>755</v>
      </c>
      <c r="HM6">
        <v>749.86999500000002</v>
      </c>
      <c r="HN6">
        <v>752.88000499999998</v>
      </c>
      <c r="HO6">
        <v>783.03997800000002</v>
      </c>
      <c r="HP6">
        <v>792.11999500000002</v>
      </c>
      <c r="HQ6">
        <v>801.40997300000004</v>
      </c>
      <c r="HR6">
        <v>811.42999299999997</v>
      </c>
      <c r="HS6">
        <v>804.77002000000005</v>
      </c>
      <c r="HT6">
        <v>801.97997999999995</v>
      </c>
      <c r="HU6">
        <v>800.21997099999999</v>
      </c>
      <c r="HV6">
        <v>797.48999000000003</v>
      </c>
      <c r="HW6">
        <v>779.19000200000005</v>
      </c>
      <c r="HX6">
        <v>745.669983</v>
      </c>
      <c r="HY6">
        <v>763.11999500000002</v>
      </c>
      <c r="HZ6">
        <v>727.169983</v>
      </c>
      <c r="IA6">
        <v>729.15997300000004</v>
      </c>
      <c r="IB6">
        <v>742.169983</v>
      </c>
      <c r="IC6">
        <v>730.080017</v>
      </c>
      <c r="ID6">
        <v>744.53002900000001</v>
      </c>
      <c r="IE6">
        <v>715.22997999999995</v>
      </c>
      <c r="IF6">
        <v>698.82000700000003</v>
      </c>
      <c r="IG6">
        <v>706.46002199999998</v>
      </c>
    </row>
    <row r="7" spans="1:252">
      <c r="A7" t="s">
        <v>24</v>
      </c>
      <c r="B7">
        <v>1892.5600589999999</v>
      </c>
      <c r="C7">
        <v>1894.280029</v>
      </c>
      <c r="D7">
        <v>1907.9499510000001</v>
      </c>
      <c r="E7">
        <v>1818.9399410000001</v>
      </c>
      <c r="F7">
        <v>1853.1999510000001</v>
      </c>
      <c r="G7">
        <v>1827.3599850000001</v>
      </c>
      <c r="H7">
        <v>1893.0699460000001</v>
      </c>
      <c r="I7">
        <v>1919.119995</v>
      </c>
      <c r="J7">
        <v>2058.8798830000001</v>
      </c>
      <c r="K7">
        <v>2053.6298830000001</v>
      </c>
      <c r="L7">
        <v>2088.830078</v>
      </c>
      <c r="M7">
        <v>2084.5200199999999</v>
      </c>
      <c r="N7">
        <v>2075.389893</v>
      </c>
      <c r="O7">
        <v>2086.4799800000001</v>
      </c>
      <c r="P7">
        <v>2088.75</v>
      </c>
      <c r="Q7">
        <v>2095.030029</v>
      </c>
      <c r="R7">
        <v>2110.6999510000001</v>
      </c>
      <c r="S7">
        <v>2118.6201169999999</v>
      </c>
      <c r="T7">
        <v>2105.8100589999999</v>
      </c>
      <c r="U7">
        <v>2088.8100589999999</v>
      </c>
      <c r="V7">
        <v>2054.26001</v>
      </c>
      <c r="W7">
        <v>2083.8100589999999</v>
      </c>
      <c r="X7">
        <v>2015.9499510000001</v>
      </c>
      <c r="Y7">
        <v>2021.910034</v>
      </c>
      <c r="Z7">
        <v>2069.6599120000001</v>
      </c>
      <c r="AA7">
        <v>2064.4799800000001</v>
      </c>
      <c r="AB7">
        <v>2011.410034</v>
      </c>
      <c r="AC7">
        <v>2033.9300539999999</v>
      </c>
      <c r="AD7">
        <v>2097.070068</v>
      </c>
      <c r="AE7">
        <v>2040.3599850000001</v>
      </c>
      <c r="AF7">
        <v>2036.1899410000001</v>
      </c>
      <c r="AG7">
        <v>2100.540039</v>
      </c>
      <c r="AH7">
        <v>2050</v>
      </c>
      <c r="AI7">
        <v>2054.4399410000001</v>
      </c>
      <c r="AJ7">
        <v>2083.889893</v>
      </c>
      <c r="AK7">
        <v>2082.219971</v>
      </c>
      <c r="AL7">
        <v>2021.339966</v>
      </c>
      <c r="AM7">
        <v>2026.959961</v>
      </c>
      <c r="AN7">
        <v>2030.6899410000001</v>
      </c>
      <c r="AO7">
        <v>2041.329956</v>
      </c>
      <c r="AP7">
        <v>2032.530029</v>
      </c>
      <c r="AQ7">
        <v>2032.459961</v>
      </c>
      <c r="AR7">
        <v>2024.7299800000001</v>
      </c>
      <c r="AS7">
        <v>2045.790039</v>
      </c>
      <c r="AT7">
        <v>2046.469971</v>
      </c>
      <c r="AU7">
        <v>2062.5200199999999</v>
      </c>
      <c r="AV7">
        <v>2129.780029</v>
      </c>
      <c r="AW7">
        <v>2209.26001</v>
      </c>
      <c r="AX7">
        <v>2239.030029</v>
      </c>
      <c r="AY7">
        <v>2250.429932</v>
      </c>
      <c r="AZ7">
        <v>2270.669922</v>
      </c>
      <c r="BA7">
        <v>2244.6201169999999</v>
      </c>
      <c r="BB7">
        <v>2254.429932</v>
      </c>
      <c r="BC7">
        <v>2241.9099120000001</v>
      </c>
      <c r="BD7">
        <v>2285.25</v>
      </c>
      <c r="BE7">
        <v>2282.75</v>
      </c>
      <c r="BF7">
        <v>2289.76001</v>
      </c>
      <c r="BG7">
        <v>2279.01001</v>
      </c>
      <c r="BH7">
        <v>2278.3500979999999</v>
      </c>
      <c r="BI7">
        <v>2252.5200199999999</v>
      </c>
      <c r="BJ7">
        <v>2299.929932</v>
      </c>
      <c r="BK7">
        <v>2309.929932</v>
      </c>
      <c r="BL7">
        <v>2290.9799800000001</v>
      </c>
      <c r="BM7">
        <v>2359.040039</v>
      </c>
      <c r="BN7">
        <v>2392.76001</v>
      </c>
      <c r="BO7">
        <v>2353.5</v>
      </c>
      <c r="BP7">
        <v>2306.830078</v>
      </c>
      <c r="BQ7">
        <v>2314.7700199999999</v>
      </c>
      <c r="BR7">
        <v>2337.3500979999999</v>
      </c>
      <c r="BS7">
        <v>2351.929932</v>
      </c>
      <c r="BT7">
        <v>2291.75</v>
      </c>
      <c r="BU7">
        <v>2270.0600589999999</v>
      </c>
      <c r="BV7">
        <v>2200.25</v>
      </c>
      <c r="BW7">
        <v>2278.3798830000001</v>
      </c>
      <c r="BX7">
        <v>2288.919922</v>
      </c>
      <c r="BY7">
        <v>2262.469971</v>
      </c>
      <c r="BZ7">
        <v>2271.5</v>
      </c>
      <c r="CA7">
        <v>2306.9499510000001</v>
      </c>
      <c r="CB7">
        <v>2294.1298830000001</v>
      </c>
      <c r="CC7">
        <v>2362.8701169999999</v>
      </c>
      <c r="CD7">
        <v>2380.3100589999999</v>
      </c>
      <c r="CE7">
        <v>2362.679932</v>
      </c>
      <c r="CF7">
        <v>2356.8500979999999</v>
      </c>
      <c r="CG7">
        <v>2381.179932</v>
      </c>
      <c r="CH7">
        <v>2370.5900879999999</v>
      </c>
      <c r="CI7">
        <v>2347.580078</v>
      </c>
      <c r="CJ7">
        <v>2393.570068</v>
      </c>
      <c r="CK7">
        <v>2402.3000489999999</v>
      </c>
      <c r="CL7">
        <v>2398.4399410000001</v>
      </c>
      <c r="CM7">
        <v>2407.9399410000001</v>
      </c>
      <c r="CN7">
        <v>2435.1298830000001</v>
      </c>
      <c r="CO7">
        <v>2430.1999510000001</v>
      </c>
      <c r="CP7">
        <v>2448.9099120000001</v>
      </c>
      <c r="CQ7">
        <v>2428.389893</v>
      </c>
      <c r="CR7">
        <v>2415.4499510000001</v>
      </c>
      <c r="CS7">
        <v>2434.8701169999999</v>
      </c>
      <c r="CT7">
        <v>2402.219971</v>
      </c>
      <c r="CU7">
        <v>2436.25</v>
      </c>
      <c r="CV7">
        <v>2446.610107</v>
      </c>
      <c r="CW7">
        <v>2450</v>
      </c>
      <c r="CX7">
        <v>2450.169922</v>
      </c>
      <c r="CY7">
        <v>2450.719971</v>
      </c>
      <c r="CZ7">
        <v>2445.4499510000001</v>
      </c>
      <c r="DA7">
        <v>2441.790039</v>
      </c>
      <c r="DB7">
        <v>2448.889893</v>
      </c>
      <c r="DC7">
        <v>2505.1499020000001</v>
      </c>
      <c r="DD7">
        <v>2523.8000489999999</v>
      </c>
      <c r="DE7">
        <v>2529.4799800000001</v>
      </c>
      <c r="DF7">
        <v>2500.8798830000001</v>
      </c>
      <c r="DG7">
        <v>2510.3701169999999</v>
      </c>
      <c r="DH7">
        <v>2539.51001</v>
      </c>
      <c r="DI7">
        <v>2546.830078</v>
      </c>
      <c r="DJ7">
        <v>2564.73999</v>
      </c>
      <c r="DK7">
        <v>2539.3999020000001</v>
      </c>
      <c r="DL7">
        <v>2491.5600589999999</v>
      </c>
      <c r="DM7">
        <v>2524.1899410000001</v>
      </c>
      <c r="DN7">
        <v>2550.9799800000001</v>
      </c>
      <c r="DO7">
        <v>2568.429932</v>
      </c>
      <c r="DP7">
        <v>2660.3000489999999</v>
      </c>
      <c r="DQ7">
        <v>2680.6999510000001</v>
      </c>
      <c r="DR7">
        <v>2638</v>
      </c>
      <c r="DS7">
        <v>2721.8798830000001</v>
      </c>
      <c r="DT7">
        <v>2715.5500489999999</v>
      </c>
      <c r="DU7">
        <v>2694.530029</v>
      </c>
      <c r="DV7">
        <v>2697.0900879999999</v>
      </c>
      <c r="DW7">
        <v>2712.6000979999999</v>
      </c>
      <c r="DX7">
        <v>2702.51001</v>
      </c>
      <c r="DY7">
        <v>2725.030029</v>
      </c>
      <c r="DZ7">
        <v>2714.7700199999999</v>
      </c>
      <c r="EA7">
        <v>2738.26001</v>
      </c>
      <c r="EB7">
        <v>2736.139893</v>
      </c>
      <c r="EC7">
        <v>2725.580078</v>
      </c>
      <c r="ED7">
        <v>2743.8798830000001</v>
      </c>
      <c r="EE7">
        <v>2754.5500489999999</v>
      </c>
      <c r="EF7">
        <v>2766.1899410000001</v>
      </c>
      <c r="EG7">
        <v>2733.2299800000001</v>
      </c>
      <c r="EH7">
        <v>2708.9799800000001</v>
      </c>
      <c r="EI7">
        <v>2713.6000979999999</v>
      </c>
      <c r="EJ7">
        <v>2748.5900879999999</v>
      </c>
      <c r="EK7">
        <v>2800.830078</v>
      </c>
      <c r="EL7">
        <v>2825.2299800000001</v>
      </c>
      <c r="EM7">
        <v>2841.580078</v>
      </c>
      <c r="EN7">
        <v>2828.8100589999999</v>
      </c>
      <c r="EO7">
        <v>2880.080078</v>
      </c>
      <c r="EP7">
        <v>2891.8100589999999</v>
      </c>
      <c r="EQ7">
        <v>2893.9499510000001</v>
      </c>
      <c r="ER7">
        <v>2904.3100589999999</v>
      </c>
      <c r="ES7">
        <v>2865.73999</v>
      </c>
      <c r="ET7">
        <v>2874.790039</v>
      </c>
      <c r="EU7">
        <v>2885.610107</v>
      </c>
      <c r="EV7">
        <v>2873.820068</v>
      </c>
      <c r="EW7">
        <v>2870.820068</v>
      </c>
      <c r="EX7">
        <v>2817.5200199999999</v>
      </c>
      <c r="EY7">
        <v>2846.6499020000001</v>
      </c>
      <c r="EZ7">
        <v>2850.889893</v>
      </c>
      <c r="FA7">
        <v>2888.5900879999999</v>
      </c>
      <c r="FB7">
        <v>2872.1999510000001</v>
      </c>
      <c r="FC7">
        <v>2816</v>
      </c>
      <c r="FD7">
        <v>2774.389893</v>
      </c>
      <c r="FE7">
        <v>2780.6599120000001</v>
      </c>
      <c r="FF7">
        <v>2805.669922</v>
      </c>
      <c r="FG7">
        <v>2824.320068</v>
      </c>
      <c r="FH7">
        <v>2844.3000489999999</v>
      </c>
      <c r="FI7">
        <v>2821.4399410000001</v>
      </c>
      <c r="FJ7">
        <v>2716.6000979999999</v>
      </c>
      <c r="FK7">
        <v>2687.070068</v>
      </c>
      <c r="FL7">
        <v>2673.5200199999999</v>
      </c>
      <c r="FM7">
        <v>2730.860107</v>
      </c>
      <c r="FN7">
        <v>2673.1899410000001</v>
      </c>
      <c r="FO7">
        <v>2720.459961</v>
      </c>
      <c r="FP7">
        <v>2751.3000489999999</v>
      </c>
      <c r="FQ7">
        <v>2784.5</v>
      </c>
      <c r="FR7">
        <v>2795.709961</v>
      </c>
      <c r="FS7">
        <v>2778.280029</v>
      </c>
      <c r="FT7">
        <v>2728.9799800000001</v>
      </c>
      <c r="FU7">
        <v>2751.639893</v>
      </c>
      <c r="FV7">
        <v>2823.0200199999999</v>
      </c>
      <c r="FW7">
        <v>2827.360107</v>
      </c>
      <c r="FX7">
        <v>2855.5600589999999</v>
      </c>
      <c r="FY7">
        <v>2864.73999</v>
      </c>
      <c r="FZ7">
        <v>2835.3798830000001</v>
      </c>
      <c r="GA7">
        <v>2837.719971</v>
      </c>
      <c r="GB7">
        <v>2751.330078</v>
      </c>
      <c r="GC7">
        <v>2748.9399410000001</v>
      </c>
      <c r="GD7">
        <v>2786.169922</v>
      </c>
      <c r="GE7">
        <v>2924.3500979999999</v>
      </c>
      <c r="GF7">
        <v>2916.9799800000001</v>
      </c>
      <c r="GG7">
        <v>2960.919922</v>
      </c>
      <c r="GH7">
        <v>2908.6499020000001</v>
      </c>
      <c r="GI7">
        <v>2931.959961</v>
      </c>
      <c r="GJ7">
        <v>2977.040039</v>
      </c>
      <c r="GK7">
        <v>2980.6201169999999</v>
      </c>
      <c r="GL7">
        <v>2978.3701169999999</v>
      </c>
      <c r="GM7">
        <v>2917.8701169999999</v>
      </c>
      <c r="GN7">
        <v>2915.330078</v>
      </c>
      <c r="GO7">
        <v>2973.5600589999999</v>
      </c>
      <c r="GP7">
        <v>2969.040039</v>
      </c>
      <c r="GQ7">
        <v>2957.5200199999999</v>
      </c>
      <c r="GR7">
        <v>2960.9399410000001</v>
      </c>
      <c r="GS7">
        <v>2996.7700199999999</v>
      </c>
      <c r="GT7">
        <v>2978.530029</v>
      </c>
      <c r="GU7">
        <v>2926.040039</v>
      </c>
      <c r="GV7">
        <v>2915.639893</v>
      </c>
      <c r="GW7">
        <v>2922.3999020000001</v>
      </c>
      <c r="GX7">
        <v>2843.6599120000001</v>
      </c>
      <c r="GY7">
        <v>2910.610107</v>
      </c>
      <c r="GZ7">
        <v>2837.9499510000001</v>
      </c>
      <c r="HA7">
        <v>2821.030029</v>
      </c>
      <c r="HB7">
        <v>2859.320068</v>
      </c>
      <c r="HC7">
        <v>2840.030029</v>
      </c>
      <c r="HD7">
        <v>2863.1000979999999</v>
      </c>
      <c r="HE7">
        <v>2945.389893</v>
      </c>
      <c r="HF7">
        <v>2963.7299800000001</v>
      </c>
      <c r="HG7">
        <v>2952.7700199999999</v>
      </c>
      <c r="HH7">
        <v>2960.030029</v>
      </c>
      <c r="HI7">
        <v>2916.530029</v>
      </c>
      <c r="HJ7">
        <v>2878.139893</v>
      </c>
      <c r="HK7">
        <v>2928.820068</v>
      </c>
      <c r="HL7">
        <v>2888.8999020000001</v>
      </c>
      <c r="HM7">
        <v>2834.5</v>
      </c>
      <c r="HN7">
        <v>2832.139893</v>
      </c>
      <c r="HO7">
        <v>2869.4499510000001</v>
      </c>
      <c r="HP7">
        <v>2928.3000489999999</v>
      </c>
      <c r="HQ7">
        <v>2938.330078</v>
      </c>
      <c r="HR7">
        <v>2958.1298830000001</v>
      </c>
      <c r="HS7">
        <v>2933.73999</v>
      </c>
      <c r="HT7">
        <v>2933.1000979999999</v>
      </c>
      <c r="HU7">
        <v>2924.01001</v>
      </c>
      <c r="HV7">
        <v>2899.830078</v>
      </c>
      <c r="HW7">
        <v>2887.98999</v>
      </c>
      <c r="HX7">
        <v>2755.5</v>
      </c>
      <c r="HY7">
        <v>2754.9499510000001</v>
      </c>
      <c r="HZ7">
        <v>2773.389893</v>
      </c>
      <c r="IA7">
        <v>2794.719971</v>
      </c>
      <c r="IB7">
        <v>2828.610107</v>
      </c>
      <c r="IC7">
        <v>2771.73999</v>
      </c>
      <c r="ID7">
        <v>2789.610107</v>
      </c>
      <c r="IE7">
        <v>2719.959961</v>
      </c>
      <c r="IF7">
        <v>2702.330078</v>
      </c>
      <c r="IG7">
        <v>2666.1499020000001</v>
      </c>
    </row>
    <row r="8" spans="1:252">
      <c r="A8" t="s">
        <v>2</v>
      </c>
      <c r="B8">
        <v>192.62</v>
      </c>
      <c r="C8">
        <v>191.08</v>
      </c>
      <c r="D8">
        <v>192.29</v>
      </c>
      <c r="E8">
        <v>187.13</v>
      </c>
      <c r="F8">
        <v>186.93</v>
      </c>
      <c r="G8">
        <v>181.02</v>
      </c>
      <c r="H8">
        <v>186.37</v>
      </c>
      <c r="I8">
        <v>184.48</v>
      </c>
      <c r="J8">
        <v>188.57</v>
      </c>
      <c r="K8">
        <v>187.12</v>
      </c>
      <c r="L8">
        <v>188.5</v>
      </c>
      <c r="M8">
        <v>195.19</v>
      </c>
      <c r="N8">
        <v>196.21</v>
      </c>
      <c r="O8">
        <v>198.76</v>
      </c>
      <c r="P8">
        <v>202.75</v>
      </c>
      <c r="Q8">
        <v>203.23</v>
      </c>
      <c r="R8">
        <v>204.13</v>
      </c>
      <c r="S8">
        <v>202.02</v>
      </c>
      <c r="T8">
        <v>194.18</v>
      </c>
      <c r="U8">
        <v>196.35</v>
      </c>
      <c r="V8">
        <v>195.76</v>
      </c>
      <c r="W8">
        <v>195.72</v>
      </c>
      <c r="X8">
        <v>190.13</v>
      </c>
      <c r="Y8">
        <v>185.15</v>
      </c>
      <c r="Z8">
        <v>189.47</v>
      </c>
      <c r="AA8">
        <v>192.28</v>
      </c>
      <c r="AB8">
        <v>189.64</v>
      </c>
      <c r="AC8">
        <v>181.52</v>
      </c>
      <c r="AD8">
        <v>181.63</v>
      </c>
      <c r="AE8">
        <v>186.97</v>
      </c>
      <c r="AF8">
        <v>189.32</v>
      </c>
      <c r="AG8">
        <v>193.1</v>
      </c>
      <c r="AH8">
        <v>194.91</v>
      </c>
      <c r="AI8">
        <v>194.56</v>
      </c>
      <c r="AJ8">
        <v>194.34</v>
      </c>
      <c r="AK8">
        <v>196.3</v>
      </c>
      <c r="AL8">
        <v>195.69</v>
      </c>
      <c r="AM8">
        <v>195.65</v>
      </c>
      <c r="AN8">
        <v>196.57</v>
      </c>
      <c r="AO8">
        <v>191.69</v>
      </c>
      <c r="AP8">
        <v>187.58</v>
      </c>
      <c r="AQ8">
        <v>187.18</v>
      </c>
      <c r="AR8">
        <v>192.4</v>
      </c>
      <c r="AS8">
        <v>189.06</v>
      </c>
      <c r="AT8">
        <v>188.29</v>
      </c>
      <c r="AU8">
        <v>194.22</v>
      </c>
      <c r="AV8">
        <v>199.36</v>
      </c>
      <c r="AW8">
        <v>199.25</v>
      </c>
      <c r="AX8">
        <v>195.01</v>
      </c>
      <c r="AY8">
        <v>196.8</v>
      </c>
      <c r="AZ8">
        <v>196.84</v>
      </c>
      <c r="BA8">
        <v>191.74</v>
      </c>
      <c r="BB8">
        <v>194.46</v>
      </c>
      <c r="BC8">
        <v>195.95</v>
      </c>
      <c r="BD8">
        <v>196.41</v>
      </c>
      <c r="BE8">
        <v>198.82</v>
      </c>
      <c r="BF8">
        <v>195.8</v>
      </c>
      <c r="BG8">
        <v>193.16</v>
      </c>
      <c r="BH8">
        <v>195.57</v>
      </c>
      <c r="BI8">
        <v>193.39</v>
      </c>
      <c r="BJ8">
        <v>196.64</v>
      </c>
      <c r="BK8">
        <v>198.89</v>
      </c>
      <c r="BL8">
        <v>201.02</v>
      </c>
      <c r="BM8">
        <v>203.35</v>
      </c>
      <c r="BN8">
        <v>201.28</v>
      </c>
      <c r="BO8">
        <v>202.26</v>
      </c>
      <c r="BP8">
        <v>200.1</v>
      </c>
      <c r="BQ8">
        <v>203.89</v>
      </c>
      <c r="BR8">
        <v>199.25</v>
      </c>
      <c r="BS8">
        <v>200.69</v>
      </c>
      <c r="BT8">
        <v>197.28</v>
      </c>
      <c r="BU8">
        <v>194.79</v>
      </c>
      <c r="BV8">
        <v>189.23</v>
      </c>
      <c r="BW8">
        <v>190.57</v>
      </c>
      <c r="BX8">
        <v>193.5</v>
      </c>
      <c r="BY8">
        <v>195.47</v>
      </c>
      <c r="BZ8">
        <v>190.09</v>
      </c>
      <c r="CA8">
        <v>192.55</v>
      </c>
      <c r="CB8">
        <v>192.61</v>
      </c>
      <c r="CC8">
        <v>190.21</v>
      </c>
      <c r="CD8">
        <v>190.41</v>
      </c>
      <c r="CE8">
        <v>195.87</v>
      </c>
      <c r="CF8">
        <v>195.52</v>
      </c>
      <c r="CG8">
        <v>197.71</v>
      </c>
      <c r="CH8">
        <v>198.69</v>
      </c>
      <c r="CI8">
        <v>196.8</v>
      </c>
      <c r="CJ8">
        <v>198.38</v>
      </c>
      <c r="CK8">
        <v>197.87</v>
      </c>
      <c r="CL8">
        <v>195.63</v>
      </c>
      <c r="CM8">
        <v>194.91</v>
      </c>
      <c r="CN8">
        <v>194.63</v>
      </c>
      <c r="CO8">
        <v>196.47</v>
      </c>
      <c r="CP8">
        <v>196.34</v>
      </c>
      <c r="CQ8">
        <v>194.58</v>
      </c>
      <c r="CR8">
        <v>193.8</v>
      </c>
      <c r="CS8">
        <v>191.9</v>
      </c>
      <c r="CT8">
        <v>191.99</v>
      </c>
      <c r="CU8">
        <v>188.38</v>
      </c>
      <c r="CV8">
        <v>190.44</v>
      </c>
      <c r="CW8">
        <v>195.4</v>
      </c>
      <c r="CX8">
        <v>192.85</v>
      </c>
      <c r="CY8">
        <v>193.27</v>
      </c>
      <c r="CZ8">
        <v>193.21</v>
      </c>
      <c r="DA8">
        <v>196.83</v>
      </c>
      <c r="DB8">
        <v>197.69</v>
      </c>
      <c r="DC8">
        <v>197.44</v>
      </c>
      <c r="DD8">
        <v>194.25</v>
      </c>
      <c r="DE8">
        <v>194.21</v>
      </c>
      <c r="DF8">
        <v>192.93</v>
      </c>
      <c r="DG8">
        <v>196.28</v>
      </c>
      <c r="DH8">
        <v>201.9</v>
      </c>
      <c r="DI8">
        <v>201.2</v>
      </c>
      <c r="DJ8">
        <v>199.99</v>
      </c>
      <c r="DK8">
        <v>195.09</v>
      </c>
      <c r="DL8">
        <v>187.44</v>
      </c>
      <c r="DM8">
        <v>192.81</v>
      </c>
      <c r="DN8">
        <v>199.25</v>
      </c>
      <c r="DO8">
        <v>200.4</v>
      </c>
      <c r="DP8">
        <v>200.2</v>
      </c>
      <c r="DQ8">
        <v>200.86</v>
      </c>
      <c r="DR8">
        <v>196.98</v>
      </c>
      <c r="DS8">
        <v>199.92</v>
      </c>
      <c r="DT8">
        <v>203.98</v>
      </c>
      <c r="DU8">
        <v>204.57</v>
      </c>
      <c r="DV8">
        <v>205.69</v>
      </c>
      <c r="DW8">
        <v>206.66</v>
      </c>
      <c r="DX8">
        <v>206.29</v>
      </c>
      <c r="DY8">
        <v>208.64</v>
      </c>
      <c r="DZ8">
        <v>211.12</v>
      </c>
      <c r="EA8">
        <v>212.8</v>
      </c>
      <c r="EB8">
        <v>218.31</v>
      </c>
      <c r="EC8">
        <v>218.52</v>
      </c>
      <c r="ED8">
        <v>218.33</v>
      </c>
      <c r="EE8">
        <v>216.28</v>
      </c>
      <c r="EF8">
        <v>210.14</v>
      </c>
      <c r="EG8">
        <v>202.86</v>
      </c>
      <c r="EH8">
        <v>207.17</v>
      </c>
      <c r="EI8">
        <v>202.08</v>
      </c>
      <c r="EJ8">
        <v>200.92</v>
      </c>
      <c r="EK8">
        <v>206.02</v>
      </c>
      <c r="EL8">
        <v>209.1</v>
      </c>
      <c r="EM8">
        <v>209.66</v>
      </c>
      <c r="EN8">
        <v>206.24</v>
      </c>
      <c r="EO8">
        <v>207.12</v>
      </c>
      <c r="EP8">
        <v>209.08</v>
      </c>
      <c r="EQ8">
        <v>209.7</v>
      </c>
      <c r="ER8">
        <v>216.46</v>
      </c>
      <c r="ES8">
        <v>221.13</v>
      </c>
      <c r="ET8">
        <v>223.16</v>
      </c>
      <c r="EU8">
        <v>222.28</v>
      </c>
      <c r="EV8">
        <v>217.7</v>
      </c>
      <c r="EW8">
        <v>218.99</v>
      </c>
      <c r="EX8">
        <v>221.86</v>
      </c>
      <c r="EY8">
        <v>223.79</v>
      </c>
      <c r="EZ8">
        <v>224.91</v>
      </c>
      <c r="FA8">
        <v>233.67</v>
      </c>
      <c r="FB8">
        <v>230.57</v>
      </c>
      <c r="FC8">
        <v>227.79</v>
      </c>
      <c r="FD8">
        <v>214.4</v>
      </c>
      <c r="FE8">
        <v>218.78</v>
      </c>
      <c r="FF8">
        <v>221.42</v>
      </c>
      <c r="FG8">
        <v>224.14</v>
      </c>
      <c r="FH8">
        <v>220.2</v>
      </c>
      <c r="FI8">
        <v>222.74</v>
      </c>
      <c r="FJ8">
        <v>221.28</v>
      </c>
      <c r="FK8">
        <v>215.68</v>
      </c>
      <c r="FL8">
        <v>219.02</v>
      </c>
      <c r="FM8">
        <v>219.94</v>
      </c>
      <c r="FN8">
        <v>218.03</v>
      </c>
      <c r="FO8">
        <v>218.59</v>
      </c>
      <c r="FP8">
        <v>217.17</v>
      </c>
      <c r="FQ8">
        <v>223.42</v>
      </c>
      <c r="FR8">
        <v>221.86</v>
      </c>
      <c r="FS8">
        <v>223.36</v>
      </c>
      <c r="FT8">
        <v>233.45</v>
      </c>
      <c r="FU8">
        <v>240.17</v>
      </c>
      <c r="FV8">
        <v>242.88</v>
      </c>
      <c r="FW8">
        <v>246.62</v>
      </c>
      <c r="FX8">
        <v>247.37</v>
      </c>
      <c r="FY8">
        <v>250.54</v>
      </c>
      <c r="FZ8">
        <v>254.57</v>
      </c>
      <c r="GA8">
        <v>251.78</v>
      </c>
      <c r="GB8">
        <v>251.84</v>
      </c>
      <c r="GC8">
        <v>255.44</v>
      </c>
      <c r="GD8">
        <v>258.01</v>
      </c>
      <c r="GE8">
        <v>254.03</v>
      </c>
      <c r="GF8">
        <v>255.66</v>
      </c>
      <c r="GG8">
        <v>257.27</v>
      </c>
      <c r="GH8">
        <v>264.69</v>
      </c>
      <c r="GI8">
        <v>268.39999999999998</v>
      </c>
      <c r="GJ8">
        <v>273.14999999999998</v>
      </c>
      <c r="GK8">
        <v>274.66000000000003</v>
      </c>
      <c r="GL8">
        <v>276.74</v>
      </c>
      <c r="GM8">
        <v>272.89</v>
      </c>
      <c r="GN8">
        <v>278.25</v>
      </c>
      <c r="GO8">
        <v>282.67</v>
      </c>
      <c r="GP8">
        <v>282.52</v>
      </c>
      <c r="GQ8">
        <v>279.39</v>
      </c>
      <c r="GR8">
        <v>278.7</v>
      </c>
      <c r="GS8">
        <v>275.33999999999997</v>
      </c>
      <c r="GT8">
        <v>276.33</v>
      </c>
      <c r="GU8">
        <v>273.95</v>
      </c>
      <c r="GV8">
        <v>274.39</v>
      </c>
      <c r="GW8">
        <v>277.60000000000002</v>
      </c>
      <c r="GX8">
        <v>268.23</v>
      </c>
      <c r="GY8">
        <v>274.23</v>
      </c>
      <c r="GZ8">
        <v>267.77999999999997</v>
      </c>
      <c r="HA8">
        <v>262.89</v>
      </c>
      <c r="HB8">
        <v>261.23</v>
      </c>
      <c r="HC8">
        <v>256.32</v>
      </c>
      <c r="HD8">
        <v>249.79</v>
      </c>
      <c r="HE8">
        <v>259.60000000000002</v>
      </c>
      <c r="HF8">
        <v>261.07</v>
      </c>
      <c r="HG8">
        <v>255.73</v>
      </c>
      <c r="HH8">
        <v>255.72</v>
      </c>
      <c r="HI8">
        <v>251.68</v>
      </c>
      <c r="HJ8">
        <v>245.68</v>
      </c>
      <c r="HK8">
        <v>247.24</v>
      </c>
      <c r="HL8">
        <v>244.36</v>
      </c>
      <c r="HM8">
        <v>244.36</v>
      </c>
      <c r="HN8">
        <v>238.06</v>
      </c>
      <c r="HO8">
        <v>242.59</v>
      </c>
      <c r="HP8">
        <v>245.16</v>
      </c>
      <c r="HQ8">
        <v>248.15</v>
      </c>
      <c r="HR8">
        <v>251.94</v>
      </c>
      <c r="HS8">
        <v>251.69</v>
      </c>
      <c r="HT8">
        <v>249.92</v>
      </c>
      <c r="HU8">
        <v>251.71</v>
      </c>
      <c r="HV8">
        <v>254.33</v>
      </c>
      <c r="HW8">
        <v>259.98</v>
      </c>
      <c r="HX8">
        <v>254.66</v>
      </c>
      <c r="HY8">
        <v>249.52</v>
      </c>
      <c r="HZ8">
        <v>249.63</v>
      </c>
      <c r="IA8">
        <v>252.27</v>
      </c>
      <c r="IB8">
        <v>255.99</v>
      </c>
      <c r="IC8">
        <v>251.42</v>
      </c>
      <c r="ID8">
        <v>252</v>
      </c>
      <c r="IE8">
        <v>249.96</v>
      </c>
      <c r="IF8">
        <v>252.52</v>
      </c>
      <c r="IG8">
        <v>251.66</v>
      </c>
    </row>
    <row r="9" spans="1:252">
      <c r="A9" t="s">
        <v>3</v>
      </c>
      <c r="B9">
        <v>317.72000000000003</v>
      </c>
      <c r="C9">
        <v>316.97000000000003</v>
      </c>
      <c r="D9">
        <v>314.54000000000002</v>
      </c>
      <c r="E9">
        <v>321.11</v>
      </c>
      <c r="F9">
        <v>311.72000000000003</v>
      </c>
      <c r="G9">
        <v>309.16000000000003</v>
      </c>
      <c r="H9">
        <v>295.67</v>
      </c>
      <c r="I9">
        <v>309.72000000000003</v>
      </c>
      <c r="J9">
        <v>312.04000000000002</v>
      </c>
      <c r="K9">
        <v>319.35000000000002</v>
      </c>
      <c r="L9">
        <v>317.89999999999998</v>
      </c>
      <c r="M9">
        <v>318.39999999999998</v>
      </c>
      <c r="N9">
        <v>326.94</v>
      </c>
      <c r="O9">
        <v>328.6</v>
      </c>
      <c r="P9">
        <v>324.77</v>
      </c>
      <c r="Q9">
        <v>322.24</v>
      </c>
      <c r="R9">
        <v>325.02</v>
      </c>
      <c r="S9">
        <v>326.12</v>
      </c>
      <c r="T9">
        <v>319.52999999999997</v>
      </c>
      <c r="U9">
        <v>303.85000000000002</v>
      </c>
      <c r="V9">
        <v>308.5</v>
      </c>
      <c r="W9">
        <v>290.14999999999998</v>
      </c>
      <c r="X9">
        <v>290.23</v>
      </c>
      <c r="Y9">
        <v>282.89</v>
      </c>
      <c r="Z9">
        <v>279.27</v>
      </c>
      <c r="AA9">
        <v>287.39999999999998</v>
      </c>
      <c r="AB9">
        <v>285.8</v>
      </c>
      <c r="AC9">
        <v>278.99</v>
      </c>
      <c r="AD9">
        <v>260.51</v>
      </c>
      <c r="AE9">
        <v>247.51</v>
      </c>
      <c r="AF9">
        <v>260.70999999999998</v>
      </c>
      <c r="AG9">
        <v>264.68</v>
      </c>
      <c r="AH9">
        <v>274.41000000000003</v>
      </c>
      <c r="AI9">
        <v>278.13</v>
      </c>
      <c r="AJ9">
        <v>278.56</v>
      </c>
      <c r="AK9">
        <v>279.14</v>
      </c>
      <c r="AL9">
        <v>275.68</v>
      </c>
      <c r="AM9">
        <v>274.11</v>
      </c>
      <c r="AN9">
        <v>273.20999999999998</v>
      </c>
      <c r="AO9">
        <v>276.26</v>
      </c>
      <c r="AP9">
        <v>268.23</v>
      </c>
      <c r="AQ9">
        <v>257.99</v>
      </c>
      <c r="AR9">
        <v>257.89</v>
      </c>
      <c r="AS9">
        <v>263.93</v>
      </c>
      <c r="AT9">
        <v>259.86</v>
      </c>
      <c r="AU9">
        <v>263.02</v>
      </c>
      <c r="AV9">
        <v>269.52999999999997</v>
      </c>
      <c r="AW9">
        <v>272.66000000000003</v>
      </c>
      <c r="AX9">
        <v>276.01</v>
      </c>
      <c r="AY9">
        <v>273.27</v>
      </c>
      <c r="AZ9">
        <v>272.01</v>
      </c>
      <c r="BA9">
        <v>270.44</v>
      </c>
      <c r="BB9">
        <v>264.52999999999997</v>
      </c>
      <c r="BC9">
        <v>263.52</v>
      </c>
      <c r="BD9">
        <v>268.06</v>
      </c>
      <c r="BE9">
        <v>266.99</v>
      </c>
      <c r="BF9">
        <v>268.12</v>
      </c>
      <c r="BG9">
        <v>269.24</v>
      </c>
      <c r="BH9">
        <v>262.58999999999997</v>
      </c>
      <c r="BI9">
        <v>264.58999999999997</v>
      </c>
      <c r="BJ9">
        <v>266.36</v>
      </c>
      <c r="BK9">
        <v>269.44</v>
      </c>
      <c r="BL9">
        <v>276.54000000000002</v>
      </c>
      <c r="BM9">
        <v>280.67</v>
      </c>
      <c r="BN9">
        <v>277.37</v>
      </c>
      <c r="BO9">
        <v>276.79000000000002</v>
      </c>
      <c r="BP9">
        <v>268.16000000000003</v>
      </c>
      <c r="BQ9">
        <v>259.8</v>
      </c>
      <c r="BR9">
        <v>261.07</v>
      </c>
      <c r="BS9">
        <v>254.46</v>
      </c>
      <c r="BT9">
        <v>257.64</v>
      </c>
      <c r="BU9">
        <v>256.16000000000003</v>
      </c>
      <c r="BV9">
        <v>246.51</v>
      </c>
      <c r="BW9">
        <v>233.15</v>
      </c>
      <c r="BX9">
        <v>240.45</v>
      </c>
      <c r="BY9">
        <v>241.39</v>
      </c>
      <c r="BZ9">
        <v>248.12</v>
      </c>
      <c r="CA9">
        <v>242.62</v>
      </c>
      <c r="CB9">
        <v>249.05</v>
      </c>
      <c r="CC9">
        <v>251.57</v>
      </c>
      <c r="CD9">
        <v>250.71</v>
      </c>
      <c r="CE9">
        <v>251.46</v>
      </c>
      <c r="CF9">
        <v>260.35000000000002</v>
      </c>
      <c r="CG9">
        <v>264.11</v>
      </c>
      <c r="CH9">
        <v>267.35000000000002</v>
      </c>
      <c r="CI9">
        <v>271.41000000000003</v>
      </c>
      <c r="CJ9">
        <v>270.52</v>
      </c>
      <c r="CK9">
        <v>271.37</v>
      </c>
      <c r="CL9">
        <v>273.38</v>
      </c>
      <c r="CM9">
        <v>270.52999999999997</v>
      </c>
      <c r="CN9">
        <v>271.2</v>
      </c>
      <c r="CO9">
        <v>272.16000000000003</v>
      </c>
      <c r="CP9">
        <v>273.97000000000003</v>
      </c>
      <c r="CQ9">
        <v>272.86</v>
      </c>
      <c r="CR9">
        <v>267.98</v>
      </c>
      <c r="CS9">
        <v>263.54000000000002</v>
      </c>
      <c r="CT9">
        <v>257.83</v>
      </c>
      <c r="CU9">
        <v>258.91000000000003</v>
      </c>
      <c r="CV9">
        <v>256.58</v>
      </c>
      <c r="CW9">
        <v>265.16000000000003</v>
      </c>
      <c r="CX9">
        <v>265.45999999999998</v>
      </c>
      <c r="CY9">
        <v>267.86</v>
      </c>
      <c r="CZ9">
        <v>268.19</v>
      </c>
      <c r="DA9">
        <v>270.42</v>
      </c>
      <c r="DB9">
        <v>273.2</v>
      </c>
      <c r="DC9">
        <v>273.27999999999997</v>
      </c>
      <c r="DD9">
        <v>278.12</v>
      </c>
      <c r="DE9">
        <v>272.39</v>
      </c>
      <c r="DF9">
        <v>272.55</v>
      </c>
      <c r="DG9">
        <v>270.31</v>
      </c>
      <c r="DH9">
        <v>273.33999999999997</v>
      </c>
      <c r="DI9">
        <v>284.52</v>
      </c>
      <c r="DJ9">
        <v>283.5</v>
      </c>
      <c r="DK9">
        <v>283.60000000000002</v>
      </c>
      <c r="DL9">
        <v>278.26</v>
      </c>
      <c r="DM9">
        <v>271.33999999999997</v>
      </c>
      <c r="DN9">
        <v>271.06</v>
      </c>
      <c r="DO9">
        <v>279.98</v>
      </c>
      <c r="DP9">
        <v>285.69</v>
      </c>
      <c r="DQ9">
        <v>283.02999999999997</v>
      </c>
      <c r="DR9">
        <v>284.32</v>
      </c>
      <c r="DS9">
        <v>281.86</v>
      </c>
      <c r="DT9">
        <v>284.47000000000003</v>
      </c>
      <c r="DU9">
        <v>294.61</v>
      </c>
      <c r="DV9">
        <v>293.18</v>
      </c>
      <c r="DW9">
        <v>294.12</v>
      </c>
      <c r="DX9">
        <v>298.37</v>
      </c>
      <c r="DY9">
        <v>301.58</v>
      </c>
      <c r="DZ9">
        <v>302.89</v>
      </c>
      <c r="EA9">
        <v>307.60000000000002</v>
      </c>
      <c r="EB9">
        <v>307.70999999999998</v>
      </c>
      <c r="EC9">
        <v>317.10000000000002</v>
      </c>
      <c r="ED9">
        <v>315.13</v>
      </c>
      <c r="EE9">
        <v>323.64</v>
      </c>
      <c r="EF9">
        <v>321.85000000000002</v>
      </c>
      <c r="EG9">
        <v>312.07</v>
      </c>
      <c r="EH9">
        <v>297.99</v>
      </c>
      <c r="EI9">
        <v>301.06</v>
      </c>
      <c r="EJ9">
        <v>293.97000000000003</v>
      </c>
      <c r="EK9">
        <v>291.91000000000003</v>
      </c>
      <c r="EL9">
        <v>300.89999999999998</v>
      </c>
      <c r="EM9">
        <v>303.73</v>
      </c>
      <c r="EN9">
        <v>307.45</v>
      </c>
      <c r="EO9">
        <v>299.48</v>
      </c>
      <c r="EP9">
        <v>300.73</v>
      </c>
      <c r="EQ9">
        <v>306.31</v>
      </c>
      <c r="ER9">
        <v>310.70999999999998</v>
      </c>
      <c r="ES9">
        <v>310.89</v>
      </c>
      <c r="ET9">
        <v>313.77999999999997</v>
      </c>
      <c r="EU9">
        <v>318.45999999999998</v>
      </c>
      <c r="EV9">
        <v>320.58999999999997</v>
      </c>
      <c r="EW9">
        <v>312.56</v>
      </c>
      <c r="EX9">
        <v>314.95</v>
      </c>
      <c r="EY9">
        <v>321.87</v>
      </c>
      <c r="EZ9">
        <v>321.33</v>
      </c>
      <c r="FA9">
        <v>327.32</v>
      </c>
      <c r="FB9">
        <v>335.04</v>
      </c>
      <c r="FC9">
        <v>329</v>
      </c>
      <c r="FD9">
        <v>324.39999999999998</v>
      </c>
      <c r="FE9">
        <v>309.35000000000002</v>
      </c>
      <c r="FF9">
        <v>309.56</v>
      </c>
      <c r="FG9">
        <v>315.61</v>
      </c>
      <c r="FH9">
        <v>320.95</v>
      </c>
      <c r="FI9">
        <v>320.45999999999998</v>
      </c>
      <c r="FJ9">
        <v>323.19</v>
      </c>
      <c r="FK9">
        <v>316.98</v>
      </c>
      <c r="FL9">
        <v>312.43</v>
      </c>
      <c r="FM9">
        <v>316.94</v>
      </c>
      <c r="FN9">
        <v>316.39999999999998</v>
      </c>
      <c r="FO9">
        <v>313.99</v>
      </c>
      <c r="FP9">
        <v>314.2</v>
      </c>
      <c r="FQ9">
        <v>306.79000000000002</v>
      </c>
      <c r="FR9">
        <v>316.56</v>
      </c>
      <c r="FS9">
        <v>317.95</v>
      </c>
      <c r="FT9">
        <v>321.73</v>
      </c>
      <c r="FU9">
        <v>330.17</v>
      </c>
      <c r="FV9">
        <v>339.78</v>
      </c>
      <c r="FW9">
        <v>345.28</v>
      </c>
      <c r="FX9">
        <v>347.12</v>
      </c>
      <c r="FY9">
        <v>351.7</v>
      </c>
      <c r="FZ9">
        <v>359.28</v>
      </c>
      <c r="GA9">
        <v>356.98</v>
      </c>
      <c r="GB9">
        <v>350.89</v>
      </c>
      <c r="GC9">
        <v>350.34</v>
      </c>
      <c r="GD9">
        <v>355.57</v>
      </c>
      <c r="GE9">
        <v>360.26</v>
      </c>
      <c r="GF9">
        <v>356.6</v>
      </c>
      <c r="GG9">
        <v>357.94</v>
      </c>
      <c r="GH9">
        <v>365.02</v>
      </c>
      <c r="GI9">
        <v>363.86</v>
      </c>
      <c r="GJ9">
        <v>372.86</v>
      </c>
      <c r="GK9">
        <v>375.01</v>
      </c>
      <c r="GL9">
        <v>379.99</v>
      </c>
      <c r="GM9">
        <v>381.98</v>
      </c>
      <c r="GN9">
        <v>370.32</v>
      </c>
      <c r="GO9">
        <v>372.16</v>
      </c>
      <c r="GP9">
        <v>376.69</v>
      </c>
      <c r="GQ9">
        <v>375.78</v>
      </c>
      <c r="GR9">
        <v>372.36</v>
      </c>
      <c r="GS9">
        <v>372.86</v>
      </c>
      <c r="GT9">
        <v>372.03</v>
      </c>
      <c r="GU9">
        <v>374.45</v>
      </c>
      <c r="GV9">
        <v>373.47</v>
      </c>
      <c r="GW9">
        <v>366.42</v>
      </c>
      <c r="GX9">
        <v>368.65</v>
      </c>
      <c r="GY9">
        <v>360.42</v>
      </c>
      <c r="GZ9">
        <v>364.19</v>
      </c>
      <c r="HA9">
        <v>363.87</v>
      </c>
      <c r="HB9">
        <v>357.81</v>
      </c>
      <c r="HC9">
        <v>351.93</v>
      </c>
      <c r="HD9">
        <v>345.42</v>
      </c>
      <c r="HE9">
        <v>338.25</v>
      </c>
      <c r="HF9">
        <v>346.64</v>
      </c>
      <c r="HG9">
        <v>357.89</v>
      </c>
      <c r="HH9">
        <v>354.39</v>
      </c>
      <c r="HI9">
        <v>351.82</v>
      </c>
      <c r="HJ9">
        <v>350.61</v>
      </c>
      <c r="HK9">
        <v>346.96</v>
      </c>
      <c r="HL9">
        <v>346.6</v>
      </c>
      <c r="HM9">
        <v>348.97</v>
      </c>
      <c r="HN9">
        <v>344.88</v>
      </c>
      <c r="HO9">
        <v>331.62</v>
      </c>
      <c r="HP9">
        <v>336.81</v>
      </c>
      <c r="HQ9">
        <v>339.64</v>
      </c>
      <c r="HR9">
        <v>346.94</v>
      </c>
      <c r="HS9">
        <v>347</v>
      </c>
      <c r="HT9">
        <v>349.64</v>
      </c>
      <c r="HU9">
        <v>350.77</v>
      </c>
      <c r="HV9">
        <v>353.85</v>
      </c>
      <c r="HW9">
        <v>352.52</v>
      </c>
      <c r="HX9">
        <v>360.32</v>
      </c>
      <c r="HY9">
        <v>353.04</v>
      </c>
      <c r="HZ9">
        <v>344.44</v>
      </c>
      <c r="IA9">
        <v>341.91</v>
      </c>
      <c r="IB9">
        <v>350.47</v>
      </c>
      <c r="IC9">
        <v>366.6</v>
      </c>
      <c r="ID9">
        <v>366.53</v>
      </c>
      <c r="IE9">
        <v>361.69</v>
      </c>
      <c r="IF9">
        <v>361.42</v>
      </c>
      <c r="IG9">
        <v>353.72</v>
      </c>
    </row>
    <row r="10" spans="1:252">
      <c r="A10" t="s">
        <v>25</v>
      </c>
      <c r="B10">
        <v>2714.02</v>
      </c>
      <c r="C10">
        <v>2751.12</v>
      </c>
      <c r="D10">
        <v>2719.06</v>
      </c>
      <c r="E10">
        <v>2608.6</v>
      </c>
      <c r="F10">
        <v>2652.14</v>
      </c>
      <c r="G10">
        <v>2541.27</v>
      </c>
      <c r="H10">
        <v>2653.95</v>
      </c>
      <c r="I10">
        <v>2756.87</v>
      </c>
      <c r="J10">
        <v>2766.99</v>
      </c>
      <c r="K10">
        <v>2845.49</v>
      </c>
      <c r="L10">
        <v>2850.08</v>
      </c>
      <c r="M10">
        <v>2881.64</v>
      </c>
      <c r="N10">
        <v>2854.75</v>
      </c>
      <c r="O10">
        <v>2839.1</v>
      </c>
      <c r="P10">
        <v>2852.11</v>
      </c>
      <c r="Q10">
        <v>2886.46</v>
      </c>
      <c r="R10">
        <v>2879.68</v>
      </c>
      <c r="S10">
        <v>2914.49</v>
      </c>
      <c r="T10">
        <v>2869.58</v>
      </c>
      <c r="U10">
        <v>2838.64</v>
      </c>
      <c r="V10">
        <v>2776.3</v>
      </c>
      <c r="W10">
        <v>2842.68</v>
      </c>
      <c r="X10">
        <v>2652.24</v>
      </c>
      <c r="Y10">
        <v>2671.04</v>
      </c>
      <c r="Z10">
        <v>2840.99</v>
      </c>
      <c r="AA10">
        <v>2784.82</v>
      </c>
      <c r="AB10">
        <v>2693.3</v>
      </c>
      <c r="AC10">
        <v>2628.79</v>
      </c>
      <c r="AD10">
        <v>2785.74</v>
      </c>
      <c r="AE10">
        <v>2849.38</v>
      </c>
      <c r="AF10">
        <v>2875.11</v>
      </c>
      <c r="AG10">
        <v>2914.89</v>
      </c>
      <c r="AH10">
        <v>2929.97</v>
      </c>
      <c r="AI10">
        <v>2983.13</v>
      </c>
      <c r="AJ10">
        <v>2982.6</v>
      </c>
      <c r="AK10">
        <v>2993.9</v>
      </c>
      <c r="AL10">
        <v>2885.03</v>
      </c>
      <c r="AM10">
        <v>2894.01</v>
      </c>
      <c r="AN10">
        <v>2926.56</v>
      </c>
      <c r="AO10">
        <v>2909.87</v>
      </c>
      <c r="AP10">
        <v>2888.98</v>
      </c>
      <c r="AQ10">
        <v>2944.04</v>
      </c>
      <c r="AR10">
        <v>3029.02</v>
      </c>
      <c r="AS10">
        <v>3035.83</v>
      </c>
      <c r="AT10">
        <v>3037.56</v>
      </c>
      <c r="AU10">
        <v>3054.74</v>
      </c>
      <c r="AV10">
        <v>3125.99</v>
      </c>
      <c r="AW10">
        <v>3169.02</v>
      </c>
      <c r="AX10">
        <v>3143.35</v>
      </c>
      <c r="AY10">
        <v>3178.54</v>
      </c>
      <c r="AZ10">
        <v>3230.06</v>
      </c>
      <c r="BA10">
        <v>3219.86</v>
      </c>
      <c r="BB10">
        <v>3238.62</v>
      </c>
      <c r="BC10">
        <v>3186.75</v>
      </c>
      <c r="BD10">
        <v>3260.26</v>
      </c>
      <c r="BE10">
        <v>3274.01</v>
      </c>
      <c r="BF10">
        <v>3214.29</v>
      </c>
      <c r="BG10">
        <v>3154.87</v>
      </c>
      <c r="BH10">
        <v>3224.02</v>
      </c>
      <c r="BI10">
        <v>3172.88</v>
      </c>
      <c r="BJ10">
        <v>3230.68</v>
      </c>
      <c r="BK10">
        <v>3228.48</v>
      </c>
      <c r="BL10">
        <v>3226.48</v>
      </c>
      <c r="BM10">
        <v>3215.27</v>
      </c>
      <c r="BN10">
        <v>3240.41</v>
      </c>
      <c r="BO10">
        <v>3232.5</v>
      </c>
      <c r="BP10">
        <v>3197.07</v>
      </c>
      <c r="BQ10">
        <v>3210.53</v>
      </c>
      <c r="BR10">
        <v>3224.81</v>
      </c>
      <c r="BS10">
        <v>3230.73</v>
      </c>
      <c r="BT10">
        <v>3148.43</v>
      </c>
      <c r="BU10">
        <v>3100.09</v>
      </c>
      <c r="BV10">
        <v>3006.5</v>
      </c>
      <c r="BW10">
        <v>3142.55</v>
      </c>
      <c r="BX10">
        <v>3118.44</v>
      </c>
      <c r="BY10">
        <v>3033.16</v>
      </c>
      <c r="BZ10">
        <v>3018.9</v>
      </c>
      <c r="CA10">
        <v>3089.95</v>
      </c>
      <c r="CB10">
        <v>3097.93</v>
      </c>
      <c r="CC10">
        <v>3119.85</v>
      </c>
      <c r="CD10">
        <v>3147.98</v>
      </c>
      <c r="CE10">
        <v>3163.17</v>
      </c>
      <c r="CF10">
        <v>3180.81</v>
      </c>
      <c r="CG10">
        <v>3143.55</v>
      </c>
      <c r="CH10">
        <v>3172.32</v>
      </c>
      <c r="CI10">
        <v>3181.33</v>
      </c>
      <c r="CJ10">
        <v>3226.87</v>
      </c>
      <c r="CK10">
        <v>3214.93</v>
      </c>
      <c r="CL10">
        <v>3217.2</v>
      </c>
      <c r="CM10">
        <v>3205.47</v>
      </c>
      <c r="CN10">
        <v>3247.15</v>
      </c>
      <c r="CO10">
        <v>3296.35</v>
      </c>
      <c r="CP10">
        <v>3304.7</v>
      </c>
      <c r="CQ10">
        <v>3285.45</v>
      </c>
      <c r="CR10">
        <v>3256.3</v>
      </c>
      <c r="CS10">
        <v>3359.54</v>
      </c>
      <c r="CT10">
        <v>3325.27</v>
      </c>
      <c r="CU10">
        <v>3383.07</v>
      </c>
      <c r="CV10">
        <v>3429.79</v>
      </c>
      <c r="CW10">
        <v>3450.54</v>
      </c>
      <c r="CX10">
        <v>3458.9</v>
      </c>
      <c r="CY10">
        <v>3493.43</v>
      </c>
      <c r="CZ10">
        <v>3509.92</v>
      </c>
      <c r="DA10">
        <v>3540.75</v>
      </c>
      <c r="DB10">
        <v>3568.32</v>
      </c>
      <c r="DC10">
        <v>3636.65</v>
      </c>
      <c r="DD10">
        <v>3636.38</v>
      </c>
      <c r="DE10">
        <v>3675.47</v>
      </c>
      <c r="DF10">
        <v>3578.6</v>
      </c>
      <c r="DG10">
        <v>3653.81</v>
      </c>
      <c r="DH10">
        <v>3672.56</v>
      </c>
      <c r="DI10">
        <v>3670.63</v>
      </c>
      <c r="DJ10">
        <v>3676.81</v>
      </c>
      <c r="DK10">
        <v>3610.08</v>
      </c>
      <c r="DL10">
        <v>3505.15</v>
      </c>
      <c r="DM10">
        <v>3641.51</v>
      </c>
      <c r="DN10">
        <v>3684.61</v>
      </c>
      <c r="DO10">
        <v>3699.94</v>
      </c>
      <c r="DP10">
        <v>3798.86</v>
      </c>
      <c r="DQ10">
        <v>3782.44</v>
      </c>
      <c r="DR10">
        <v>3733.13</v>
      </c>
      <c r="DS10">
        <v>3753.59</v>
      </c>
      <c r="DT10">
        <v>3729.98</v>
      </c>
      <c r="DU10">
        <v>3703.77</v>
      </c>
      <c r="DV10">
        <v>3678.52</v>
      </c>
      <c r="DW10">
        <v>3748.92</v>
      </c>
      <c r="DX10">
        <v>3728.94</v>
      </c>
      <c r="DY10">
        <v>3780.45</v>
      </c>
      <c r="DZ10">
        <v>3836.46</v>
      </c>
      <c r="EA10">
        <v>3842.68</v>
      </c>
      <c r="EB10">
        <v>3861.43</v>
      </c>
      <c r="EC10">
        <v>3864.1</v>
      </c>
      <c r="ED10">
        <v>3895.4</v>
      </c>
      <c r="EE10">
        <v>3865.19</v>
      </c>
      <c r="EF10">
        <v>3882.27</v>
      </c>
      <c r="EG10">
        <v>3876.24</v>
      </c>
      <c r="EH10">
        <v>3798.57</v>
      </c>
      <c r="EI10">
        <v>3824.34</v>
      </c>
      <c r="EJ10">
        <v>3890.45</v>
      </c>
      <c r="EK10">
        <v>3919.48</v>
      </c>
      <c r="EL10">
        <v>3922.07</v>
      </c>
      <c r="EM10">
        <v>3946.68</v>
      </c>
      <c r="EN10">
        <v>3898.86</v>
      </c>
      <c r="EO10">
        <v>3947.14</v>
      </c>
      <c r="EP10">
        <v>3974.02</v>
      </c>
      <c r="EQ10">
        <v>3956.06</v>
      </c>
      <c r="ER10">
        <v>3928.73</v>
      </c>
      <c r="ES10">
        <v>3942.99</v>
      </c>
      <c r="ET10">
        <v>3935.25</v>
      </c>
      <c r="EU10">
        <v>3931.15</v>
      </c>
      <c r="EV10">
        <v>3939.39</v>
      </c>
      <c r="EW10">
        <v>3902.6</v>
      </c>
      <c r="EX10">
        <v>3831.39</v>
      </c>
      <c r="EY10">
        <v>3860.16</v>
      </c>
      <c r="EZ10">
        <v>3810.09</v>
      </c>
      <c r="FA10">
        <v>3875.64</v>
      </c>
      <c r="FB10">
        <v>3905.18</v>
      </c>
      <c r="FC10">
        <v>3855.57</v>
      </c>
      <c r="FD10">
        <v>3728.62</v>
      </c>
      <c r="FE10">
        <v>3727.99</v>
      </c>
      <c r="FF10">
        <v>3793.69</v>
      </c>
      <c r="FG10">
        <v>3872.84</v>
      </c>
      <c r="FH10">
        <v>3904.97</v>
      </c>
      <c r="FI10">
        <v>3886.07</v>
      </c>
      <c r="FJ10">
        <v>3738.12</v>
      </c>
      <c r="FK10">
        <v>3783.3</v>
      </c>
      <c r="FL10">
        <v>3718.95</v>
      </c>
      <c r="FM10">
        <v>3796.77</v>
      </c>
      <c r="FN10">
        <v>3672.92</v>
      </c>
      <c r="FO10">
        <v>3772.22</v>
      </c>
      <c r="FP10">
        <v>3839.17</v>
      </c>
      <c r="FQ10">
        <v>3896.42</v>
      </c>
      <c r="FR10">
        <v>3869.04</v>
      </c>
      <c r="FS10">
        <v>3817.07</v>
      </c>
      <c r="FT10">
        <v>3820.75</v>
      </c>
      <c r="FU10">
        <v>3836.26</v>
      </c>
      <c r="FV10">
        <v>3956.48</v>
      </c>
      <c r="FW10">
        <v>4002.42</v>
      </c>
      <c r="FX10">
        <v>4036.02</v>
      </c>
      <c r="FY10">
        <v>4066.12</v>
      </c>
      <c r="FZ10">
        <v>4093.19</v>
      </c>
      <c r="GA10">
        <v>4123.3500000000004</v>
      </c>
      <c r="GB10">
        <v>4106.6499999999996</v>
      </c>
      <c r="GC10">
        <v>4169.5600000000004</v>
      </c>
      <c r="GD10">
        <v>4196.3900000000003</v>
      </c>
      <c r="GE10">
        <v>4145</v>
      </c>
      <c r="GF10">
        <v>4170.13</v>
      </c>
      <c r="GG10">
        <v>4260.96</v>
      </c>
      <c r="GH10">
        <v>4301.78</v>
      </c>
      <c r="GI10">
        <v>4353.55</v>
      </c>
      <c r="GJ10">
        <v>4439.67</v>
      </c>
      <c r="GK10">
        <v>4426.55</v>
      </c>
      <c r="GL10">
        <v>4403.34</v>
      </c>
      <c r="GM10">
        <v>4372.8</v>
      </c>
      <c r="GN10">
        <v>4415.45</v>
      </c>
      <c r="GO10">
        <v>4505.37</v>
      </c>
      <c r="GP10">
        <v>4524.3100000000004</v>
      </c>
      <c r="GQ10">
        <v>4619.3500000000004</v>
      </c>
      <c r="GR10">
        <v>4627.1899999999996</v>
      </c>
      <c r="GS10">
        <v>4620.88</v>
      </c>
      <c r="GT10">
        <v>4629.79</v>
      </c>
      <c r="GU10">
        <v>4642.71</v>
      </c>
      <c r="GV10">
        <v>4636.88</v>
      </c>
      <c r="GW10">
        <v>4719.51</v>
      </c>
      <c r="GX10">
        <v>4416.79</v>
      </c>
      <c r="GY10">
        <v>4566.75</v>
      </c>
      <c r="GZ10">
        <v>4401.2299999999996</v>
      </c>
      <c r="HA10">
        <v>4221.2</v>
      </c>
      <c r="HB10">
        <v>4357.1400000000003</v>
      </c>
      <c r="HC10">
        <v>4299.3900000000003</v>
      </c>
      <c r="HD10">
        <v>4403.92</v>
      </c>
      <c r="HE10">
        <v>4612.97</v>
      </c>
      <c r="HF10">
        <v>4581.6400000000003</v>
      </c>
      <c r="HG10">
        <v>4540.8900000000003</v>
      </c>
      <c r="HH10">
        <v>4602.38</v>
      </c>
      <c r="HI10">
        <v>4541.05</v>
      </c>
      <c r="HJ10">
        <v>4471.68</v>
      </c>
      <c r="HK10">
        <v>4637.76</v>
      </c>
      <c r="HL10">
        <v>4499.5600000000004</v>
      </c>
      <c r="HM10">
        <v>4448.0600000000004</v>
      </c>
      <c r="HN10">
        <v>4332.7299999999996</v>
      </c>
      <c r="HO10">
        <v>4516.17</v>
      </c>
      <c r="HP10">
        <v>4556.58</v>
      </c>
      <c r="HQ10">
        <v>4627.1000000000004</v>
      </c>
      <c r="HR10">
        <v>4741.3500000000004</v>
      </c>
      <c r="HS10">
        <v>4744.3</v>
      </c>
      <c r="HT10">
        <v>4709.8599999999997</v>
      </c>
      <c r="HU10">
        <v>4704.1499999999996</v>
      </c>
      <c r="HV10">
        <v>4762.63</v>
      </c>
      <c r="HW10">
        <v>4728.8599999999997</v>
      </c>
      <c r="HX10">
        <v>4508.55</v>
      </c>
      <c r="HY10">
        <v>4533.09</v>
      </c>
      <c r="HZ10">
        <v>4463.1099999999997</v>
      </c>
      <c r="IA10">
        <v>4535.46</v>
      </c>
      <c r="IB10">
        <v>4494.07</v>
      </c>
      <c r="IC10">
        <v>4323.6899999999996</v>
      </c>
      <c r="ID10">
        <v>4349.41</v>
      </c>
      <c r="IE10">
        <v>4252.62</v>
      </c>
      <c r="IF10">
        <v>4169.29</v>
      </c>
      <c r="IG10">
        <v>4076.74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Lapa4"/>
  <dimension ref="A2:IF10"/>
  <sheetViews>
    <sheetView workbookViewId="0">
      <selection activeCell="H22" sqref="H22"/>
    </sheetView>
  </sheetViews>
  <sheetFormatPr defaultColWidth="9.109375" defaultRowHeight="14.4"/>
  <cols>
    <col min="2" max="220" width="8.88671875" style="1"/>
  </cols>
  <sheetData>
    <row r="2" spans="1:240">
      <c r="A2" t="s">
        <v>27</v>
      </c>
      <c r="B2" s="1">
        <v>-1.1802232854864465E-2</v>
      </c>
      <c r="C2" s="1">
        <v>1.9690122659780485E-2</v>
      </c>
      <c r="D2" s="1">
        <v>-2.8490028490028445E-2</v>
      </c>
      <c r="E2" s="1">
        <v>1.2056044314108746E-2</v>
      </c>
      <c r="F2" s="1">
        <v>-1.4810045074050138E-2</v>
      </c>
      <c r="G2" s="1">
        <v>1.7973856209150232E-2</v>
      </c>
      <c r="H2" s="1">
        <v>1.0914927768860348E-2</v>
      </c>
      <c r="I2" s="1">
        <v>7.9390282629406162E-3</v>
      </c>
      <c r="J2" s="1">
        <v>8.1915563957152358E-3</v>
      </c>
      <c r="K2" s="1">
        <v>0</v>
      </c>
      <c r="L2" s="1">
        <v>0</v>
      </c>
      <c r="M2" s="1">
        <v>-5.3125000000000533E-3</v>
      </c>
      <c r="N2" s="1">
        <v>-3.7700282752119838E-3</v>
      </c>
      <c r="O2" s="1">
        <v>5.6764427625354682E-3</v>
      </c>
      <c r="P2" s="1">
        <v>4.7036688617120908E-3</v>
      </c>
      <c r="Q2" s="1">
        <v>4.6816479400748623E-3</v>
      </c>
      <c r="R2" s="1">
        <v>-1.0562286424355275E-2</v>
      </c>
      <c r="S2" s="1">
        <v>-1.883830455259098E-3</v>
      </c>
      <c r="T2" s="1">
        <v>1.5728216420258167E-3</v>
      </c>
      <c r="U2" s="1">
        <v>-2.512562814070298E-3</v>
      </c>
      <c r="V2" s="1">
        <v>1.5743073047858047E-3</v>
      </c>
      <c r="W2" s="1">
        <v>-1.7290160326941126E-2</v>
      </c>
      <c r="X2" s="1">
        <v>7.6775431861803717E-3</v>
      </c>
      <c r="Y2" s="1">
        <v>1.1428571428571411E-2</v>
      </c>
      <c r="Z2" s="1">
        <v>2.8248587570621425E-3</v>
      </c>
      <c r="AA2" s="1">
        <v>-6.2597809076682092E-3</v>
      </c>
      <c r="AB2" s="1">
        <v>-5.6692913385826679E-3</v>
      </c>
      <c r="AC2" s="1">
        <v>4.7513462147608038E-3</v>
      </c>
      <c r="AD2" s="1">
        <v>2.4274905422446504E-2</v>
      </c>
      <c r="AE2" s="1">
        <v>6.7713142505385921E-3</v>
      </c>
      <c r="AF2" s="1">
        <v>2.7514521553040753E-3</v>
      </c>
      <c r="AG2" s="1">
        <v>-9.1463414634128154E-4</v>
      </c>
      <c r="AH2" s="1">
        <v>0</v>
      </c>
      <c r="AI2" s="1">
        <v>-3.0515715593546275E-4</v>
      </c>
      <c r="AJ2" s="1">
        <v>1.1904761904761923E-2</v>
      </c>
      <c r="AK2" s="1">
        <v>2.7149321266969357E-3</v>
      </c>
      <c r="AL2" s="1">
        <v>-3.0084235860409572E-3</v>
      </c>
      <c r="AM2" s="1">
        <v>6.0350030175003076E-4</v>
      </c>
      <c r="AN2" s="1">
        <v>-1.2062726176115546E-3</v>
      </c>
      <c r="AO2" s="1">
        <v>-7.2463768115940486E-3</v>
      </c>
      <c r="AP2" s="1">
        <v>6.6909975669099406E-3</v>
      </c>
      <c r="AQ2" s="1">
        <v>9.9697885196374098E-3</v>
      </c>
      <c r="AR2" s="1">
        <v>1.1965300628178027E-3</v>
      </c>
      <c r="AS2" s="1">
        <v>6.2742754705706859E-3</v>
      </c>
      <c r="AT2" s="1">
        <v>5.6413301662707168E-3</v>
      </c>
      <c r="AU2" s="1">
        <v>9.4478889873044081E-3</v>
      </c>
      <c r="AV2" s="1">
        <v>4.3872477332555044E-3</v>
      </c>
      <c r="AW2" s="1">
        <v>-5.8241118229479104E-4</v>
      </c>
      <c r="AX2" s="1">
        <v>1.4568764568763742E-3</v>
      </c>
      <c r="AY2" s="1">
        <v>2.0366598778004158E-3</v>
      </c>
      <c r="AZ2" s="1">
        <v>2.0325203252032605E-3</v>
      </c>
      <c r="BA2" s="1">
        <v>-1.1590843233845016E-3</v>
      </c>
      <c r="BB2" s="1">
        <v>-3.4812880765882634E-3</v>
      </c>
      <c r="BC2" s="1">
        <v>5.2401746724890742E-3</v>
      </c>
      <c r="BD2" s="1">
        <v>1.6507384882710693E-2</v>
      </c>
      <c r="BE2" s="1">
        <v>-4.2735042735042332E-3</v>
      </c>
      <c r="BF2" s="1">
        <v>-1.4878397711015824E-2</v>
      </c>
      <c r="BG2" s="1">
        <v>7.2611094975312228E-3</v>
      </c>
      <c r="BH2" s="1">
        <v>-1.7301038062284392E-3</v>
      </c>
      <c r="BI2" s="1">
        <v>5.7770075101106671E-4</v>
      </c>
      <c r="BJ2" s="1">
        <v>4.6189376443417024E-3</v>
      </c>
      <c r="BK2" s="1">
        <v>-5.7471264367804664E-4</v>
      </c>
      <c r="BL2" s="1">
        <v>-8.6256469235195909E-4</v>
      </c>
      <c r="BM2" s="1">
        <v>-4.8920863309353012E-3</v>
      </c>
      <c r="BN2" s="1">
        <v>-4.0485829959514335E-3</v>
      </c>
      <c r="BO2" s="1">
        <v>-1.2775842044134662E-2</v>
      </c>
      <c r="BP2" s="1">
        <v>1.4411764705882412E-2</v>
      </c>
      <c r="BQ2" s="1">
        <v>3.7692084662219612E-3</v>
      </c>
      <c r="BR2" s="1">
        <v>6.6435586366263427E-3</v>
      </c>
      <c r="BS2" s="1">
        <v>-4.5911047345768632E-3</v>
      </c>
      <c r="BT2" s="1">
        <v>-1.2395503026808872E-2</v>
      </c>
      <c r="BU2" s="1">
        <v>-6.129597197898449E-3</v>
      </c>
      <c r="BV2" s="1">
        <v>2.2026431718061675E-2</v>
      </c>
      <c r="BW2" s="1">
        <v>-1.4367816091953207E-3</v>
      </c>
      <c r="BX2" s="1">
        <v>-2.8776978417266595E-3</v>
      </c>
      <c r="BY2" s="1">
        <v>-9.2352092352092439E-3</v>
      </c>
      <c r="BZ2" s="1">
        <v>1.1360326245266547E-2</v>
      </c>
      <c r="CA2" s="1">
        <v>5.1843317972350153E-3</v>
      </c>
      <c r="CB2" s="1">
        <v>-5.730659025787844E-3</v>
      </c>
      <c r="CC2" s="1">
        <v>6.3400576368875744E-3</v>
      </c>
      <c r="CD2" s="1">
        <v>1.4318442153492886E-3</v>
      </c>
      <c r="CE2" s="1">
        <v>8.5787818129828819E-4</v>
      </c>
      <c r="CF2" s="1">
        <v>7.4285714285713721E-3</v>
      </c>
      <c r="CG2" s="1">
        <v>-2.8360748723760666E-4</v>
      </c>
      <c r="CH2" s="1">
        <v>7.0921985815602835E-3</v>
      </c>
      <c r="CI2" s="1">
        <v>4.5070422535210307E-3</v>
      </c>
      <c r="CJ2" s="1">
        <v>0</v>
      </c>
      <c r="CK2" s="1">
        <v>3.3651149747617654E-3</v>
      </c>
      <c r="CL2" s="1">
        <v>-7.5461151481275327E-3</v>
      </c>
      <c r="CM2" s="1">
        <v>0</v>
      </c>
      <c r="CN2" s="1">
        <v>8.448324415657682E-3</v>
      </c>
      <c r="CO2" s="1">
        <v>8.3775481709022991E-4</v>
      </c>
      <c r="CP2" s="1">
        <v>1.6741071428570079E-3</v>
      </c>
      <c r="CQ2" s="1">
        <v>-8.356545961003103E-4</v>
      </c>
      <c r="CR2" s="1">
        <v>2.7878449958196588E-4</v>
      </c>
      <c r="CS2" s="1">
        <v>-1.7558528428093717E-2</v>
      </c>
      <c r="CT2" s="1">
        <v>1.2198581560283681E-2</v>
      </c>
      <c r="CU2" s="1">
        <v>-1.6816143497758486E-3</v>
      </c>
      <c r="CV2" s="1">
        <v>-8.4222346996052873E-4</v>
      </c>
      <c r="CW2" s="1">
        <v>2.2478224220286117E-3</v>
      </c>
      <c r="CX2" s="1">
        <v>-1.6820857863751688E-3</v>
      </c>
      <c r="CY2" s="1">
        <v>2.4431339511373138E-2</v>
      </c>
      <c r="CZ2" s="1">
        <v>-2.7960526315789366E-2</v>
      </c>
      <c r="DA2" s="1">
        <v>2.2560631697687056E-3</v>
      </c>
      <c r="DB2" s="1">
        <v>7.3157006190207657E-3</v>
      </c>
      <c r="DC2" s="1">
        <v>-1.3966480446927375E-2</v>
      </c>
      <c r="DD2" s="1">
        <v>1.1614730878187074E-2</v>
      </c>
      <c r="DE2" s="1">
        <v>-1.5681881825819161E-2</v>
      </c>
      <c r="DF2" s="1">
        <v>1.5647226173542084E-2</v>
      </c>
      <c r="DG2" s="1">
        <v>8.1232492997198626E-3</v>
      </c>
      <c r="DH2" s="1">
        <v>-2.7785495971117296E-4</v>
      </c>
      <c r="DI2" s="1">
        <v>-3.3351862145635756E-3</v>
      </c>
      <c r="DJ2" s="1">
        <v>-1.5616285554935926E-2</v>
      </c>
      <c r="DK2" s="1">
        <v>-2.1246458923512748E-2</v>
      </c>
      <c r="DL2" s="1">
        <v>8.9725036179450733E-3</v>
      </c>
      <c r="DM2" s="1">
        <v>1.0613884107859939E-2</v>
      </c>
      <c r="DN2" s="1">
        <v>5.1092818620493818E-3</v>
      </c>
      <c r="DO2" s="1">
        <v>1.0449025698955228E-2</v>
      </c>
      <c r="DP2" s="1">
        <v>-3.0743432084963506E-3</v>
      </c>
      <c r="DQ2" s="1">
        <v>-5.8873002523128918E-3</v>
      </c>
      <c r="DR2" s="1">
        <v>0</v>
      </c>
      <c r="DS2" s="1">
        <v>4.794134235758649E-3</v>
      </c>
      <c r="DT2" s="1">
        <v>-3.6486107213023447E-3</v>
      </c>
      <c r="DU2" s="1">
        <v>-2.8169014084507443E-3</v>
      </c>
      <c r="DV2" s="1">
        <v>4.5197740112995393E-3</v>
      </c>
      <c r="DW2" s="1">
        <v>8.1552305961754539E-3</v>
      </c>
      <c r="DX2" s="1">
        <v>6.6945606694561221E-3</v>
      </c>
      <c r="DY2" s="1">
        <v>1.6625103906898078E-3</v>
      </c>
      <c r="DZ2" s="1">
        <v>-5.5325034578135605E-4</v>
      </c>
      <c r="EA2" s="1">
        <v>4.9820094104622119E-3</v>
      </c>
      <c r="EB2" s="1">
        <v>3.5802809143485386E-3</v>
      </c>
      <c r="EC2" s="1">
        <v>1.6465422612514345E-3</v>
      </c>
      <c r="ED2" s="1">
        <v>4.6575342465753891E-3</v>
      </c>
      <c r="EE2" s="1">
        <v>-4.9086446686664766E-3</v>
      </c>
      <c r="EF2" s="1">
        <v>-5.206906001644418E-3</v>
      </c>
      <c r="EG2" s="1">
        <v>1.6528925619835339E-3</v>
      </c>
      <c r="EH2" s="1">
        <v>-5.2255225522551633E-3</v>
      </c>
      <c r="EI2" s="1">
        <v>-3.3176665745093875E-3</v>
      </c>
      <c r="EJ2" s="1">
        <v>2.2191400832179031E-3</v>
      </c>
      <c r="EK2" s="1">
        <v>6.0891226127871255E-3</v>
      </c>
      <c r="EL2" s="1">
        <v>-3.3012379642367137E-3</v>
      </c>
      <c r="EM2" s="1">
        <v>-4.9682583494341627E-3</v>
      </c>
      <c r="EN2" s="1">
        <v>4.7156726768377731E-3</v>
      </c>
      <c r="EO2" s="1">
        <v>-5.5218111540574323E-4</v>
      </c>
      <c r="EP2" s="1">
        <v>-4.4198895027625328E-3</v>
      </c>
      <c r="EQ2" s="1">
        <v>-8.3240843507217358E-4</v>
      </c>
      <c r="ER2" s="1">
        <v>8.3310191613443876E-4</v>
      </c>
      <c r="ES2" s="1">
        <v>-1.6648168701443472E-3</v>
      </c>
      <c r="ET2" s="1">
        <v>8.3379655364092357E-3</v>
      </c>
      <c r="EU2" s="1">
        <v>-3.5832414553473692E-3</v>
      </c>
      <c r="EV2" s="1">
        <v>-0.99014107883817426</v>
      </c>
      <c r="EW2" s="1">
        <v>-1.9640852974185702E-3</v>
      </c>
      <c r="EX2" s="1">
        <v>1.2088838909193057E-2</v>
      </c>
      <c r="EY2" s="1">
        <v>-5.8333333333333076E-3</v>
      </c>
      <c r="EZ2" s="1">
        <v>8.3822296730936706E-4</v>
      </c>
      <c r="FA2" s="1">
        <v>0</v>
      </c>
      <c r="FB2" s="1">
        <v>-1.1725293132328412E-2</v>
      </c>
      <c r="FC2" s="1">
        <v>-1.1864406779660965E-2</v>
      </c>
      <c r="FD2" s="1">
        <v>-2.5728987993139277E-3</v>
      </c>
      <c r="FE2" s="1">
        <v>1.2897678417884792E-2</v>
      </c>
      <c r="FF2" s="1">
        <v>1.0186757215619673E-2</v>
      </c>
      <c r="FG2" s="1">
        <v>-5.8823529411764454E-3</v>
      </c>
      <c r="FH2" s="1">
        <v>5.6353902507758102E-4</v>
      </c>
      <c r="FI2" s="1">
        <v>-2.3655308363841221E-2</v>
      </c>
      <c r="FJ2" s="1">
        <v>7.4992789154888695E-3</v>
      </c>
      <c r="FK2" s="1">
        <v>-9.4474663612940882E-3</v>
      </c>
      <c r="FL2" s="1">
        <v>2.0231213872833353E-3</v>
      </c>
      <c r="FM2" s="1">
        <v>-1.4421690222094042E-2</v>
      </c>
      <c r="FN2" s="1">
        <v>6.7310506292068148E-3</v>
      </c>
      <c r="FO2" s="1">
        <v>-8.7209302325579868E-3</v>
      </c>
      <c r="FP2" s="1">
        <v>1.0263929618768174E-2</v>
      </c>
      <c r="FQ2" s="1">
        <v>-1.7416545718432206E-3</v>
      </c>
      <c r="FR2" s="1">
        <v>-2.9078220412910756E-3</v>
      </c>
      <c r="FS2" s="1">
        <v>1.1665208515602551E-3</v>
      </c>
      <c r="FT2" s="1">
        <v>7.5735508301776619E-3</v>
      </c>
      <c r="FU2" s="1">
        <v>1.1853136744723887E-2</v>
      </c>
      <c r="FV2" s="1">
        <v>7.4285714285715629E-3</v>
      </c>
      <c r="FW2" s="1">
        <v>-5.6721497447532665E-3</v>
      </c>
      <c r="FX2" s="1">
        <v>8.5567598402728736E-4</v>
      </c>
      <c r="FY2" s="1">
        <v>1.4249073810202349E-3</v>
      </c>
      <c r="FZ2" s="1">
        <v>0</v>
      </c>
      <c r="GA2" s="1">
        <v>2.3335230506545207E-2</v>
      </c>
      <c r="GB2" s="1">
        <v>-1.6963292547274734E-2</v>
      </c>
      <c r="GC2" s="1">
        <v>7.0721357850070787E-3</v>
      </c>
      <c r="GD2" s="1">
        <v>1.4044943820224732E-3</v>
      </c>
      <c r="GE2" s="1">
        <v>-3.64656381486667E-3</v>
      </c>
      <c r="GF2" s="1">
        <v>2.5337837837838173E-3</v>
      </c>
      <c r="GG2" s="1">
        <v>9.8286998034258569E-3</v>
      </c>
      <c r="GH2" s="1">
        <v>4.7274749721914209E-3</v>
      </c>
      <c r="GI2" s="1">
        <v>5.2587877110434897E-3</v>
      </c>
      <c r="GJ2" s="1">
        <v>-6.3325991189427978E-3</v>
      </c>
      <c r="GK2" s="1">
        <v>-2.2166805209199859E-3</v>
      </c>
      <c r="GL2" s="1">
        <v>-3.3324076645375698E-3</v>
      </c>
      <c r="GM2" s="1">
        <v>6.6870994706046622E-3</v>
      </c>
      <c r="GN2" s="1">
        <v>-2.7677830058120395E-4</v>
      </c>
      <c r="GO2" s="1">
        <v>3.0454042081948778E-3</v>
      </c>
      <c r="GP2" s="1">
        <v>6.6243444659122635E-3</v>
      </c>
      <c r="GQ2" s="1">
        <v>8.225939128049546E-4</v>
      </c>
      <c r="GR2" s="1">
        <v>2.7397260273969587E-4</v>
      </c>
      <c r="GS2" s="1">
        <v>-4.9301561216104307E-3</v>
      </c>
      <c r="GT2" s="1">
        <v>-3.8535645472061995E-3</v>
      </c>
      <c r="GU2" s="1">
        <v>-5.5263885051119142E-3</v>
      </c>
      <c r="GV2" s="1">
        <v>-7.5020839121977779E-3</v>
      </c>
      <c r="GW2" s="1">
        <v>-4.6752519596864481E-2</v>
      </c>
      <c r="GX2" s="1">
        <v>2.0851688693098371E-2</v>
      </c>
      <c r="GY2" s="1">
        <v>-1.4096662830840089E-2</v>
      </c>
      <c r="GZ2" s="1">
        <v>6.4196089874525237E-3</v>
      </c>
      <c r="HA2" s="1">
        <v>7.8283560452306056E-3</v>
      </c>
      <c r="HB2" s="1">
        <v>-1.6973532796317654E-2</v>
      </c>
      <c r="HC2" s="1">
        <v>1.7266608135791679E-2</v>
      </c>
      <c r="HD2" s="1">
        <v>1.9562715765247332E-2</v>
      </c>
      <c r="HE2" s="1">
        <v>-2.5395033860045484E-3</v>
      </c>
      <c r="HF2" s="1">
        <v>-4.2432814710042475E-3</v>
      </c>
      <c r="HG2" s="1">
        <v>-1.7045454545454245E-3</v>
      </c>
      <c r="HH2" s="1">
        <v>-1.4228799089356871E-3</v>
      </c>
      <c r="HI2" s="1">
        <v>-4.2747221430607047E-3</v>
      </c>
      <c r="HJ2" s="1">
        <v>3.7206639954207883E-3</v>
      </c>
      <c r="HK2" s="1">
        <v>-5.7028799543779149E-4</v>
      </c>
      <c r="HL2" s="1">
        <v>-2.2824536376603922E-3</v>
      </c>
      <c r="HM2" s="1">
        <v>-1.4583929082070327E-2</v>
      </c>
      <c r="HN2" s="1">
        <v>1.42193847939639E-2</v>
      </c>
      <c r="HO2">
        <v>4.2918454935622361E-3</v>
      </c>
      <c r="HP2">
        <v>8.262108262108301E-3</v>
      </c>
      <c r="HQ2">
        <v>3.1082226617688328E-3</v>
      </c>
      <c r="HR2">
        <v>5.915492957746453E-3</v>
      </c>
      <c r="HS2">
        <v>-8.1209745169419159E-3</v>
      </c>
      <c r="HT2">
        <v>-1.1293054771315963E-3</v>
      </c>
      <c r="HU2">
        <v>1.2436404748445491E-2</v>
      </c>
      <c r="HV2">
        <v>6.4209938581796999E-3</v>
      </c>
      <c r="HW2">
        <v>-3.0513176144243825E-3</v>
      </c>
      <c r="HX2">
        <v>-3.0606566499721479E-3</v>
      </c>
      <c r="HY2">
        <v>-1.3396595032096082E-2</v>
      </c>
      <c r="HZ2">
        <v>1.2164073550212238E-2</v>
      </c>
      <c r="IA2">
        <v>1.9564002235885366E-3</v>
      </c>
      <c r="IB2">
        <v>5.5788005578809904E-4</v>
      </c>
      <c r="IC2">
        <v>-4.1817674937273518E-3</v>
      </c>
      <c r="ID2">
        <v>-7.8387458006719604E-3</v>
      </c>
      <c r="IE2">
        <v>-5.6433408577871887E-4</v>
      </c>
      <c r="IF2">
        <v>4.2348955392433685E-3</v>
      </c>
    </row>
    <row r="3" spans="1:240">
      <c r="A3" t="s">
        <v>28</v>
      </c>
      <c r="B3" s="1">
        <v>-7.918215613382882E-3</v>
      </c>
      <c r="C3" s="1">
        <v>4.2342713680818206E-3</v>
      </c>
      <c r="D3" s="1">
        <v>-8.0223880597014071E-3</v>
      </c>
      <c r="E3" s="1">
        <v>-1.2224938875305623E-2</v>
      </c>
      <c r="F3" s="1">
        <v>-1.75171363290176E-2</v>
      </c>
      <c r="G3" s="1">
        <v>2.8139534883720896E-2</v>
      </c>
      <c r="H3" s="1">
        <v>1.3986277614416183E-2</v>
      </c>
      <c r="I3" s="1">
        <v>-2.1600922035914794E-2</v>
      </c>
      <c r="J3" s="1">
        <v>6.9919440644473883E-3</v>
      </c>
      <c r="K3" s="1">
        <v>3.0188679245283019E-2</v>
      </c>
      <c r="L3" s="1">
        <v>7.106227106227098E-3</v>
      </c>
      <c r="M3" s="1">
        <v>-1.7131010402269511E-2</v>
      </c>
      <c r="N3" s="1">
        <v>-1.2951929837546636E-3</v>
      </c>
      <c r="O3" s="1">
        <v>-1.8082110567659685E-2</v>
      </c>
      <c r="P3" s="1">
        <v>1.8867924528301887E-3</v>
      </c>
      <c r="Q3" s="1">
        <v>2.1468926553672274E-2</v>
      </c>
      <c r="R3" s="1">
        <v>-4.5353982300883533E-3</v>
      </c>
      <c r="S3" s="1">
        <v>-8.556506278475394E-3</v>
      </c>
      <c r="T3" s="1">
        <v>1.4533363221998006E-2</v>
      </c>
      <c r="U3" s="1">
        <v>5.3397164426440382E-3</v>
      </c>
      <c r="V3" s="1">
        <v>-2.6336996336996328E-2</v>
      </c>
      <c r="W3" s="1">
        <v>3.0999586170572999E-2</v>
      </c>
      <c r="X3" s="1">
        <v>-1.222404670680541E-2</v>
      </c>
      <c r="Y3" s="1">
        <v>1.9763575914296352E-2</v>
      </c>
      <c r="Z3" s="1">
        <v>3.4414055424741483E-3</v>
      </c>
      <c r="AA3" s="1">
        <v>1.9133574007219232E-3</v>
      </c>
      <c r="AB3" s="1">
        <v>2.288040932511809E-2</v>
      </c>
      <c r="AC3" s="1">
        <v>-2.6736649288431644E-2</v>
      </c>
      <c r="AD3" s="1">
        <v>2.2331608092945668E-2</v>
      </c>
      <c r="AE3" s="1">
        <v>4.9210507682505254E-3</v>
      </c>
      <c r="AF3" s="1">
        <v>4.0514356174034781E-3</v>
      </c>
      <c r="AG3" s="1">
        <v>1.4035087719297449E-3</v>
      </c>
      <c r="AH3" s="1">
        <v>2.3055360896986829E-2</v>
      </c>
      <c r="AI3" s="1">
        <v>1.4042057675182141E-3</v>
      </c>
      <c r="AJ3" s="1">
        <v>-2.6813502513765776E-2</v>
      </c>
      <c r="AK3" s="1">
        <v>-9.6995255666842053E-3</v>
      </c>
      <c r="AL3" s="1">
        <v>2.5089605734766998E-2</v>
      </c>
      <c r="AM3" s="1">
        <v>1.8694177110017433E-3</v>
      </c>
      <c r="AN3" s="1">
        <v>-2.4913614374568002E-2</v>
      </c>
      <c r="AO3" s="1">
        <v>2.7180268613345673E-2</v>
      </c>
      <c r="AP3" s="1">
        <v>-2.163113227075153E-2</v>
      </c>
      <c r="AQ3" s="1">
        <v>1.1283895765013032E-2</v>
      </c>
      <c r="AR3" s="1">
        <v>2.7999581575368641E-2</v>
      </c>
      <c r="AS3" s="1">
        <v>-2.7813581168170177E-3</v>
      </c>
      <c r="AT3" s="1">
        <v>-9.8299319727890699E-3</v>
      </c>
      <c r="AU3" s="1">
        <v>-8.6221703136271192E-3</v>
      </c>
      <c r="AV3" s="1">
        <v>-1.6493416493416659E-2</v>
      </c>
      <c r="AW3" s="1">
        <v>-9.8999436302142137E-3</v>
      </c>
      <c r="AX3" s="1">
        <v>3.5227555776963641E-3</v>
      </c>
      <c r="AY3" s="1">
        <v>1.3474221686405059E-3</v>
      </c>
      <c r="AZ3" s="1">
        <v>-4.9575070821528946E-3</v>
      </c>
      <c r="BA3" s="1">
        <v>2.8362989323843513E-2</v>
      </c>
      <c r="BB3" s="1">
        <v>-1.0243277848911776E-2</v>
      </c>
      <c r="BC3" s="1">
        <v>-8.041676864445935E-4</v>
      </c>
      <c r="BD3" s="1">
        <v>1.1267408496046006E-2</v>
      </c>
      <c r="BE3" s="1">
        <v>-1.1003460207612481E-2</v>
      </c>
      <c r="BF3" s="1">
        <v>1.1125883423133465E-2</v>
      </c>
      <c r="BG3" s="1">
        <v>-1.7301038062283738E-3</v>
      </c>
      <c r="BH3" s="1">
        <v>1.7296360485268662E-2</v>
      </c>
      <c r="BI3" s="1">
        <v>1.7036355582813723E-3</v>
      </c>
      <c r="BJ3" s="1">
        <v>-6.8369672437837712E-3</v>
      </c>
      <c r="BK3" s="1">
        <v>9.5965477087471676E-2</v>
      </c>
      <c r="BL3" s="1">
        <v>-6.5562500000000051E-2</v>
      </c>
      <c r="BM3" s="1">
        <v>-5.0832720219382713E-3</v>
      </c>
      <c r="BN3" s="1">
        <v>1.0084033613445379E-2</v>
      </c>
      <c r="BO3" s="1">
        <v>-3.8735440931780322E-2</v>
      </c>
      <c r="BP3" s="1">
        <v>5.5874818251055822E-2</v>
      </c>
      <c r="BQ3" s="1">
        <v>3.1836065573770424E-2</v>
      </c>
      <c r="BR3" s="1">
        <v>5.6528232340885332E-2</v>
      </c>
      <c r="BS3" s="1">
        <v>-1.0526315789473684E-2</v>
      </c>
      <c r="BT3" s="1">
        <v>-6.9878419452887572E-2</v>
      </c>
      <c r="BU3" s="1">
        <v>4.5717460213718537E-2</v>
      </c>
      <c r="BV3" s="1">
        <v>-4.9687499999999926E-2</v>
      </c>
      <c r="BW3" s="1">
        <v>-7.5961854653074715E-3</v>
      </c>
      <c r="BX3" s="1">
        <v>1.2061367175850711E-2</v>
      </c>
      <c r="BY3" s="1">
        <v>-3.5196280653504892E-2</v>
      </c>
      <c r="BZ3" s="1">
        <v>3.8312746029591491E-2</v>
      </c>
      <c r="CA3" s="1">
        <v>-1.3694153021538237E-2</v>
      </c>
      <c r="CB3" s="1">
        <v>1.7926966664457637E-2</v>
      </c>
      <c r="CC3" s="1">
        <v>5.1759497379471175E-3</v>
      </c>
      <c r="CD3" s="1">
        <v>1.036336550294723E-2</v>
      </c>
      <c r="CE3" s="1">
        <v>4.1733444451567347E-2</v>
      </c>
      <c r="CF3" s="1">
        <v>-3.3846153846153845E-2</v>
      </c>
      <c r="CG3" s="1">
        <v>-2.2929936305733354E-3</v>
      </c>
      <c r="CH3" s="1">
        <v>6.7032686414720502E-4</v>
      </c>
      <c r="CI3" s="1">
        <v>-6.730677214584241E-3</v>
      </c>
      <c r="CJ3" s="1">
        <v>1.2974500610186976E-2</v>
      </c>
      <c r="CK3" s="1">
        <v>-9.511128019792517E-5</v>
      </c>
      <c r="CL3" s="1">
        <v>3.5384761723580412E-2</v>
      </c>
      <c r="CM3" s="1">
        <v>-3.8432093094472548E-2</v>
      </c>
      <c r="CN3" s="1">
        <v>3.9554140127388587E-2</v>
      </c>
      <c r="CO3" s="1">
        <v>-4.9047239752466117E-2</v>
      </c>
      <c r="CP3" s="1">
        <v>5.5410585999161443E-3</v>
      </c>
      <c r="CQ3" s="1">
        <v>2.4669208342677149E-3</v>
      </c>
      <c r="CR3" s="1">
        <v>4.9536593160754601E-3</v>
      </c>
      <c r="CS3" s="1">
        <v>-1.4183494991254507E-2</v>
      </c>
      <c r="CT3" s="1">
        <v>8.9680312268136803E-3</v>
      </c>
      <c r="CU3" s="1">
        <v>3.1972375867250699E-3</v>
      </c>
      <c r="CV3" s="1">
        <v>-1.4118621920515049E-2</v>
      </c>
      <c r="CW3" s="1">
        <v>1.454710027801272E-3</v>
      </c>
      <c r="CX3" s="1">
        <v>-8.5864617967010715E-3</v>
      </c>
      <c r="CY3" s="1">
        <v>-4.2327353238041042E-4</v>
      </c>
      <c r="CZ3" s="1">
        <v>-6.1563517915308999E-3</v>
      </c>
      <c r="DA3" s="1">
        <v>1.0586345908033042E-2</v>
      </c>
      <c r="DB3" s="1">
        <v>-2.3675163780241338E-3</v>
      </c>
      <c r="DC3" s="1">
        <v>-8.4847696758883449E-3</v>
      </c>
      <c r="DD3" s="1">
        <v>-8.557377049180373E-3</v>
      </c>
      <c r="DE3" s="1">
        <v>3.6376864314300618E-4</v>
      </c>
      <c r="DF3" s="1">
        <v>2.3140495867768219E-3</v>
      </c>
      <c r="DG3" s="1">
        <v>1.2434036939314112E-2</v>
      </c>
      <c r="DH3" s="1">
        <v>-4.984200410463659E-3</v>
      </c>
      <c r="DI3" s="1">
        <v>-1.5092980618124717E-2</v>
      </c>
      <c r="DJ3" s="1">
        <v>-4.8199980055180294E-3</v>
      </c>
      <c r="DK3" s="1">
        <v>-2.0575856770659255E-2</v>
      </c>
      <c r="DL3" s="1">
        <v>3.4104085669432178E-5</v>
      </c>
      <c r="DM3" s="1">
        <v>2.6600279643964556E-3</v>
      </c>
      <c r="DN3" s="1">
        <v>2.0101357096697477E-2</v>
      </c>
      <c r="DO3" s="1">
        <v>-1.7104561216324338E-2</v>
      </c>
      <c r="DP3" s="1">
        <v>3.0157060958648479E-2</v>
      </c>
      <c r="DQ3" s="1">
        <v>-7.5408324552160844E-3</v>
      </c>
      <c r="DR3" s="1">
        <v>-8.2949002952984515E-3</v>
      </c>
      <c r="DS3" s="1">
        <v>1.4888420489143126E-2</v>
      </c>
      <c r="DT3" s="1">
        <v>7.1207226214809296E-3</v>
      </c>
      <c r="DU3" s="1">
        <v>1.4631751227495998E-2</v>
      </c>
      <c r="DV3" s="1">
        <v>-5.4844017162956383E-4</v>
      </c>
      <c r="DW3" s="1">
        <v>1.0296965784377009E-2</v>
      </c>
      <c r="DX3" s="1">
        <v>1.2779961021118886E-2</v>
      </c>
      <c r="DY3" s="1">
        <v>6.3408940345121012E-3</v>
      </c>
      <c r="DZ3" s="1">
        <v>2.8119122257053378E-2</v>
      </c>
      <c r="EA3" s="1">
        <v>1.2287709241698851E-2</v>
      </c>
      <c r="EB3" s="1">
        <v>-6.024096385542169E-3</v>
      </c>
      <c r="EC3" s="1">
        <v>1.7272727272727066E-3</v>
      </c>
      <c r="ED3" s="1">
        <v>-3.8418489276098311E-3</v>
      </c>
      <c r="EE3" s="1">
        <v>3.7655633161251412E-3</v>
      </c>
      <c r="EF3" s="1">
        <v>1.4400677678949569E-2</v>
      </c>
      <c r="EG3" s="1">
        <v>2.1473307485832698E-3</v>
      </c>
      <c r="EH3" s="1">
        <v>-1.3987262662936697E-2</v>
      </c>
      <c r="EI3" s="1">
        <v>2.2998913437160463E-2</v>
      </c>
      <c r="EJ3" s="1">
        <v>-3.8531893550480915E-2</v>
      </c>
      <c r="EK3" s="1">
        <v>-5.1552718792193652E-3</v>
      </c>
      <c r="EL3" s="1">
        <v>-7.3288093769278195E-2</v>
      </c>
      <c r="EM3" s="1">
        <v>7.1761416589002799E-2</v>
      </c>
      <c r="EN3" s="1">
        <v>3.5403726708074109E-3</v>
      </c>
      <c r="EO3" s="1">
        <v>1.8134554682181142E-2</v>
      </c>
      <c r="EP3" s="1">
        <v>9.5440729483282256E-3</v>
      </c>
      <c r="EQ3" s="1">
        <v>7.6172698259770874E-3</v>
      </c>
      <c r="ER3" s="1">
        <v>-1.3954044282427512E-2</v>
      </c>
      <c r="ES3" s="1">
        <v>8.939393939393905E-3</v>
      </c>
      <c r="ET3" s="1">
        <v>-2.4748460729839342E-2</v>
      </c>
      <c r="EU3" s="1">
        <v>2.334390687074633E-2</v>
      </c>
      <c r="EV3" s="1">
        <v>-1.5919829064973426E-2</v>
      </c>
      <c r="EW3" s="1">
        <v>9.8470948012233245E-3</v>
      </c>
      <c r="EX3" s="1">
        <v>-9.9933377748180272E-4</v>
      </c>
      <c r="EY3" s="1">
        <v>-1.7308799902997909E-2</v>
      </c>
      <c r="EZ3" s="1">
        <v>2.7207107162687375E-2</v>
      </c>
      <c r="FA3" s="1">
        <v>-1.7117117117117085E-2</v>
      </c>
      <c r="FB3" s="1">
        <v>5.7745187901007827E-3</v>
      </c>
      <c r="FC3" s="1">
        <v>-1.3092742792915953E-2</v>
      </c>
      <c r="FD3" s="1">
        <v>9.5112041369121887E-3</v>
      </c>
      <c r="FE3" s="1">
        <v>8.5373662225202134E-3</v>
      </c>
      <c r="FF3" s="1">
        <v>-1.5086011427880429E-2</v>
      </c>
      <c r="FG3" s="1">
        <v>1.286144023574208E-2</v>
      </c>
      <c r="FH3" s="1">
        <v>3.1214958935659987E-3</v>
      </c>
      <c r="FI3" s="1">
        <v>-9.0332326283988195E-3</v>
      </c>
      <c r="FJ3" s="1">
        <v>-3.0486875400112512E-5</v>
      </c>
      <c r="FK3" s="1">
        <v>3.6585365853658534E-2</v>
      </c>
      <c r="FL3" s="1">
        <v>-1.1764705882352941E-2</v>
      </c>
      <c r="FM3" s="1">
        <v>3.273809523809524E-2</v>
      </c>
      <c r="FN3" s="1">
        <v>3.740634005763694E-2</v>
      </c>
      <c r="FO3" s="1">
        <v>-4.3057947663759409E-3</v>
      </c>
      <c r="FP3" s="1">
        <v>3.4985910777557735E-2</v>
      </c>
      <c r="FQ3" s="1">
        <v>-7.0086529908091688E-4</v>
      </c>
      <c r="FR3" s="1">
        <v>4.2324188718944722E-2</v>
      </c>
      <c r="FS3" s="1">
        <v>-9.1356107660454794E-3</v>
      </c>
      <c r="FT3" s="1">
        <v>-5.6677201138768145E-3</v>
      </c>
      <c r="FU3" s="1">
        <v>-1.7546624638823238E-2</v>
      </c>
      <c r="FV3" s="1">
        <v>-1.4143628682958034E-2</v>
      </c>
      <c r="FW3" s="1">
        <v>-1.9879044287147887E-2</v>
      </c>
      <c r="FX3" s="1">
        <v>6.8622025456558334E-3</v>
      </c>
      <c r="FY3" s="1">
        <v>2.7069363526437351E-2</v>
      </c>
      <c r="FZ3" s="1">
        <v>-1.546571053969451E-2</v>
      </c>
      <c r="GA3" s="1">
        <v>-1.2474520994700299E-2</v>
      </c>
      <c r="GB3" s="1">
        <v>2.578709819462793E-2</v>
      </c>
      <c r="GC3" s="1">
        <v>7.592627371019193E-3</v>
      </c>
      <c r="GD3" s="1">
        <v>-2.2366599211842979E-3</v>
      </c>
      <c r="GE3" s="1">
        <v>-2.3270708795901009E-2</v>
      </c>
      <c r="GF3" s="1">
        <v>-3.2431693989071052E-2</v>
      </c>
      <c r="GG3" s="1">
        <v>5.2551322960494772E-2</v>
      </c>
      <c r="GH3" s="1">
        <v>-4.69496163545635E-3</v>
      </c>
      <c r="GI3" s="1">
        <v>-3.2777163804954379E-2</v>
      </c>
      <c r="GJ3" s="1">
        <v>1.1621101914555685E-2</v>
      </c>
      <c r="GK3" s="1">
        <v>-1.8815426997245137E-2</v>
      </c>
      <c r="GL3" s="1">
        <v>-1.7323188365106594E-2</v>
      </c>
      <c r="GM3" s="1">
        <v>2.8571428571402587E-5</v>
      </c>
      <c r="GN3" s="1">
        <v>-1.6913802462786825E-2</v>
      </c>
      <c r="GO3" s="1">
        <v>1.6972303757737894E-2</v>
      </c>
      <c r="GP3" s="1">
        <v>-5.1353127768410903E-2</v>
      </c>
      <c r="GQ3" s="1">
        <v>6.7959995180142202E-2</v>
      </c>
      <c r="GR3" s="1">
        <v>-4.5469931174545883E-2</v>
      </c>
      <c r="GS3" s="1">
        <v>-4.3912529550827299E-2</v>
      </c>
      <c r="GT3" s="1">
        <v>-4.0396859739135788E-2</v>
      </c>
      <c r="GU3" s="1">
        <v>7.247077012271716E-2</v>
      </c>
      <c r="GV3" s="1">
        <v>-2.9942637474847662E-2</v>
      </c>
      <c r="GW3" s="1">
        <v>-4.6439628482972138E-2</v>
      </c>
      <c r="GX3" s="1">
        <v>4.7370129870129792E-2</v>
      </c>
      <c r="GY3" s="1">
        <v>-3.03791190055487E-2</v>
      </c>
      <c r="GZ3" s="1">
        <v>3.8428338501870205E-2</v>
      </c>
      <c r="HA3" s="1">
        <v>1.219174286505951E-2</v>
      </c>
      <c r="HB3" s="1">
        <v>-2.1200231164643889E-2</v>
      </c>
      <c r="HC3" s="1">
        <v>-3.9776258545680579E-2</v>
      </c>
      <c r="HD3" s="1">
        <v>-1.3656957928802678E-2</v>
      </c>
      <c r="HE3" s="1">
        <v>-1.574906489927146E-2</v>
      </c>
      <c r="HF3" s="1">
        <v>1.6634442296153105E-2</v>
      </c>
      <c r="HG3" s="1">
        <v>-9.8370331508020894E-4</v>
      </c>
      <c r="HH3" s="1">
        <v>-6.7909541471099871E-2</v>
      </c>
      <c r="HI3" s="1">
        <v>6.8314670047186334E-3</v>
      </c>
      <c r="HJ3" s="1">
        <v>-5.0013989927252612E-3</v>
      </c>
      <c r="HK3" s="1">
        <v>4.6715174522830201E-2</v>
      </c>
      <c r="HL3" s="1">
        <v>-2.7537107932030132E-3</v>
      </c>
      <c r="HM3" s="1">
        <v>-2.3437499999999934E-2</v>
      </c>
      <c r="HN3" s="1">
        <v>6.8275862068966145E-3</v>
      </c>
      <c r="HO3">
        <v>1.2535105144187849E-2</v>
      </c>
      <c r="HP3">
        <v>-2.3068596942227012E-2</v>
      </c>
      <c r="HQ3">
        <v>3.4242780970846848E-2</v>
      </c>
      <c r="HR3">
        <v>-9.0723444143148198E-3</v>
      </c>
      <c r="HS3">
        <v>-1.7905405405404483E-3</v>
      </c>
      <c r="HT3">
        <v>-7.4457643754028248E-4</v>
      </c>
      <c r="HU3">
        <v>2.6248941574936496E-2</v>
      </c>
      <c r="HV3">
        <v>6.6006600660066007E-3</v>
      </c>
      <c r="HW3">
        <v>-4.2622950819672129E-2</v>
      </c>
      <c r="HX3">
        <v>1.2979452054794591E-2</v>
      </c>
      <c r="HY3">
        <v>-2.7722370600763821E-3</v>
      </c>
      <c r="HZ3">
        <v>-3.5596840356646822E-3</v>
      </c>
      <c r="IA3">
        <v>-1.1737887860642312E-2</v>
      </c>
      <c r="IB3">
        <v>-5.3361792956243326E-2</v>
      </c>
      <c r="IC3">
        <v>-5.0805542422809859E-2</v>
      </c>
      <c r="ID3">
        <v>-8.4406130268199236E-2</v>
      </c>
      <c r="IE3">
        <v>3.3602544252416627E-2</v>
      </c>
      <c r="IF3">
        <v>2.6842105263157875E-2</v>
      </c>
    </row>
    <row r="4" spans="1:240">
      <c r="A4" t="s">
        <v>29</v>
      </c>
      <c r="B4" s="1">
        <v>1.911389468800731E-2</v>
      </c>
      <c r="C4" s="1">
        <v>-5.0530340965993775E-3</v>
      </c>
      <c r="D4" s="1">
        <v>-6.0395314787701007E-3</v>
      </c>
      <c r="E4" s="1">
        <v>-1.1047689191677826E-3</v>
      </c>
      <c r="F4" s="1">
        <v>-2.4009216589861788E-2</v>
      </c>
      <c r="G4" s="1">
        <v>6.6575381273903233E-3</v>
      </c>
      <c r="H4" s="1">
        <v>6.0975609756098101E-3</v>
      </c>
      <c r="I4" s="1">
        <v>8.0186480186480134E-3</v>
      </c>
      <c r="J4" s="1">
        <v>1.5169734529645736E-2</v>
      </c>
      <c r="K4" s="1">
        <v>1.1435079726651439E-2</v>
      </c>
      <c r="L4" s="1">
        <v>2.3197153281383748E-2</v>
      </c>
      <c r="M4" s="1">
        <v>-1.3030463109702448E-2</v>
      </c>
      <c r="N4" s="1">
        <v>-8.9206066012483779E-4</v>
      </c>
      <c r="O4" s="1">
        <v>-4.508928571428531E-3</v>
      </c>
      <c r="P4" s="1">
        <v>1.5875151352078534E-2</v>
      </c>
      <c r="Q4" s="1">
        <v>1.9732485763475031E-2</v>
      </c>
      <c r="R4" s="1">
        <v>-1.7316017316017316E-2</v>
      </c>
      <c r="S4" s="1">
        <v>-1.7488986784140965E-2</v>
      </c>
      <c r="T4" s="1">
        <v>1.5379096982468757E-2</v>
      </c>
      <c r="U4" s="1">
        <v>-1.9208690276428481E-2</v>
      </c>
      <c r="V4" s="1">
        <v>8.5543199315653371E-4</v>
      </c>
      <c r="W4" s="1">
        <v>8.9968511021137486E-4</v>
      </c>
      <c r="X4" s="1">
        <v>-1.7977528089887642E-2</v>
      </c>
      <c r="Y4" s="1">
        <v>2.0549199084668235E-2</v>
      </c>
      <c r="Z4" s="1">
        <v>-2.1974079555137408E-3</v>
      </c>
      <c r="AA4" s="1">
        <v>-6.2921348314600605E-4</v>
      </c>
      <c r="AB4" s="1">
        <v>-2.2036337470768531E-3</v>
      </c>
      <c r="AC4" s="1">
        <v>2.7403434443593024E-2</v>
      </c>
      <c r="AD4" s="1">
        <v>1.9916648387804433E-2</v>
      </c>
      <c r="AE4" s="1">
        <v>-4.2152350638737929E-3</v>
      </c>
      <c r="AF4" s="1">
        <v>-6.3496177270960172E-3</v>
      </c>
      <c r="AG4" s="1">
        <v>1.6997043992349144E-2</v>
      </c>
      <c r="AH4" s="1">
        <v>1.3036973712331744E-2</v>
      </c>
      <c r="AI4" s="1">
        <v>-1.5991561181434567E-2</v>
      </c>
      <c r="AJ4" s="1">
        <v>-1.3893057759101277E-2</v>
      </c>
      <c r="AK4" s="1">
        <v>-2.3350871852850393E-2</v>
      </c>
      <c r="AL4" s="1">
        <v>1.4113980409617168E-2</v>
      </c>
      <c r="AM4" s="1">
        <v>-2.4893532949905674E-2</v>
      </c>
      <c r="AN4" s="1">
        <v>-2.476361999099428E-3</v>
      </c>
      <c r="AO4" s="1">
        <v>1.1013315278718112E-2</v>
      </c>
      <c r="AP4" s="1">
        <v>4.3751953212196517E-3</v>
      </c>
      <c r="AQ4" s="1">
        <v>-4.1783348890963136E-3</v>
      </c>
      <c r="AR4" s="1">
        <v>6.7848056063920465E-3</v>
      </c>
      <c r="AS4" s="1">
        <v>-3.3252050543116822E-3</v>
      </c>
      <c r="AT4" s="1">
        <v>1.1298932384341601E-2</v>
      </c>
      <c r="AU4" s="1">
        <v>3.9588281868567152E-3</v>
      </c>
      <c r="AV4" s="1">
        <v>-9.9456712232737915E-3</v>
      </c>
      <c r="AW4" s="1">
        <v>3.4075319732708334E-3</v>
      </c>
      <c r="AX4" s="1">
        <v>-2.0860897944782651E-2</v>
      </c>
      <c r="AY4" s="1">
        <v>8.9185171839107173E-3</v>
      </c>
      <c r="AZ4" s="1">
        <v>-3.1251395151578906E-4</v>
      </c>
      <c r="BA4" s="1">
        <v>3.0100035727045414E-2</v>
      </c>
      <c r="BB4" s="1">
        <v>2.0809849995664664E-2</v>
      </c>
      <c r="BC4" s="1">
        <v>-1.8516945553384921E-2</v>
      </c>
      <c r="BD4" s="1">
        <v>3.8944180008655736E-4</v>
      </c>
      <c r="BE4" s="1">
        <v>1.660971495306892E-2</v>
      </c>
      <c r="BF4" s="1">
        <v>-4.5100625452070041E-3</v>
      </c>
      <c r="BG4" s="1">
        <v>-1.5301106979527343E-2</v>
      </c>
      <c r="BH4" s="1">
        <v>3.1251356395678082E-3</v>
      </c>
      <c r="BI4" s="1">
        <v>-3.7644411751979771E-3</v>
      </c>
      <c r="BJ4" s="1">
        <v>1.8676164002779633E-2</v>
      </c>
      <c r="BK4" s="1">
        <v>6.1823143173872991E-3</v>
      </c>
      <c r="BL4" s="1">
        <v>-1.461926352811567E-2</v>
      </c>
      <c r="BM4" s="1">
        <v>2.3006794529973316E-2</v>
      </c>
      <c r="BN4" s="1">
        <v>-1.807558115095205E-2</v>
      </c>
      <c r="BO4" s="1">
        <v>2.2689327454086267E-3</v>
      </c>
      <c r="BP4" s="1">
        <v>1.6572697761831519E-2</v>
      </c>
      <c r="BQ4" s="1">
        <v>2.1974789915966342E-2</v>
      </c>
      <c r="BR4" s="1">
        <v>7.1537228137976781E-3</v>
      </c>
      <c r="BS4" s="1">
        <v>1.9594236028901081E-3</v>
      </c>
      <c r="BT4" s="1">
        <v>6.5593807292728202E-3</v>
      </c>
      <c r="BU4" s="1">
        <v>-2.3516554683072947E-2</v>
      </c>
      <c r="BV4" s="1">
        <v>2.7564766839378262E-2</v>
      </c>
      <c r="BW4" s="1">
        <v>2.8398547801532843E-2</v>
      </c>
      <c r="BX4" s="1">
        <v>3.4361026123793798E-2</v>
      </c>
      <c r="BY4" s="1">
        <v>-1.6685627607129227E-3</v>
      </c>
      <c r="BZ4" s="1">
        <v>-8.6986249335256546E-3</v>
      </c>
      <c r="CA4" s="1">
        <v>-8.3917691688701924E-3</v>
      </c>
      <c r="CB4" s="1">
        <v>1.035628719375534E-2</v>
      </c>
      <c r="CC4" s="1">
        <v>5.7370152222137238E-3</v>
      </c>
      <c r="CD4" s="1">
        <v>5.0578034682082487E-3</v>
      </c>
      <c r="CE4" s="1">
        <v>-1.2107911763592765E-3</v>
      </c>
      <c r="CF4" s="1">
        <v>-7.3493199984848824E-3</v>
      </c>
      <c r="CG4" s="1">
        <v>4.0262565355112058E-2</v>
      </c>
      <c r="CH4" s="1">
        <v>1.3940861398488351E-3</v>
      </c>
      <c r="CI4" s="1">
        <v>7.3270808909730372E-3</v>
      </c>
      <c r="CJ4" s="1">
        <v>-6.4372999709047928E-3</v>
      </c>
      <c r="CK4" s="1">
        <v>8.3824444525788661E-3</v>
      </c>
      <c r="CL4" s="1">
        <v>3.1944242776244932E-3</v>
      </c>
      <c r="CM4" s="1">
        <v>-1.3026487190621423E-3</v>
      </c>
      <c r="CN4" s="1">
        <v>4.130434782608646E-3</v>
      </c>
      <c r="CO4" s="1">
        <v>-2.7422963123330843E-3</v>
      </c>
      <c r="CP4" s="1">
        <v>-8.6113322237498929E-3</v>
      </c>
      <c r="CQ4" s="1">
        <v>-1.0912408759124121E-2</v>
      </c>
      <c r="CR4" s="1">
        <v>8.1177816316740665E-3</v>
      </c>
      <c r="CS4" s="1">
        <v>-1.127337945170376E-2</v>
      </c>
      <c r="CT4" s="1">
        <v>0</v>
      </c>
      <c r="CU4" s="1">
        <v>1.8176433569022415E-2</v>
      </c>
      <c r="CV4" s="1">
        <v>7.5625363583478183E-3</v>
      </c>
      <c r="CW4" s="1">
        <v>9.0213625866050805E-4</v>
      </c>
      <c r="CX4" s="1">
        <v>-2.8481811298987649E-3</v>
      </c>
      <c r="CY4" s="1">
        <v>3.0370959577700192E-3</v>
      </c>
      <c r="CZ4" s="1">
        <v>1.2724389013048707E-2</v>
      </c>
      <c r="DA4" s="1">
        <v>2.0217120484071923E-2</v>
      </c>
      <c r="DB4" s="1">
        <v>-1.3187733314726207E-2</v>
      </c>
      <c r="DC4" s="1">
        <v>3.9879794944316677E-2</v>
      </c>
      <c r="DD4" s="1">
        <v>1.2783463094549998E-2</v>
      </c>
      <c r="DE4" s="1">
        <v>-1.0708650844271368E-2</v>
      </c>
      <c r="DF4" s="1">
        <v>4.9881235154395223E-3</v>
      </c>
      <c r="DG4" s="1">
        <v>1.2290238714251903E-2</v>
      </c>
      <c r="DH4" s="1">
        <v>-2.5049197825289318E-2</v>
      </c>
      <c r="DI4" s="1">
        <v>-2.9558672596647233E-2</v>
      </c>
      <c r="DJ4" s="1">
        <v>-1.7838257068321237E-2</v>
      </c>
      <c r="DK4" s="1">
        <v>-1.2921751615219032E-2</v>
      </c>
      <c r="DL4" s="1">
        <v>1.5163636363636421E-2</v>
      </c>
      <c r="DM4" s="1">
        <v>9.7431672457641231E-3</v>
      </c>
      <c r="DN4" s="1">
        <v>1.2203341729043237E-2</v>
      </c>
      <c r="DO4" s="1">
        <v>-1.6507202186941364E-2</v>
      </c>
      <c r="DP4" s="1">
        <v>-7.9823248521132106E-3</v>
      </c>
      <c r="DQ4" s="1">
        <v>6.8252029599826756E-3</v>
      </c>
      <c r="DR4" s="1">
        <v>5.3874696731841297E-3</v>
      </c>
      <c r="DS4" s="1">
        <v>1.9198694062954567E-2</v>
      </c>
      <c r="DT4" s="1">
        <v>5.3969359331476723E-3</v>
      </c>
      <c r="DU4" s="1">
        <v>-9.5930735930735301E-3</v>
      </c>
      <c r="DV4" s="1">
        <v>7.4830407720819156E-3</v>
      </c>
      <c r="DW4" s="1">
        <v>-2.0477578786617791E-3</v>
      </c>
      <c r="DX4" s="1">
        <v>4.9386151010329914E-3</v>
      </c>
      <c r="DY4" s="1">
        <v>-2.2979754282747834E-2</v>
      </c>
      <c r="DZ4" s="1">
        <v>2.4016152456519332E-2</v>
      </c>
      <c r="EA4" s="1">
        <v>-4.4276868795183949E-3</v>
      </c>
      <c r="EB4" s="1">
        <v>5.906674542232683E-3</v>
      </c>
      <c r="EC4" s="1">
        <v>1.1260405512762913E-2</v>
      </c>
      <c r="ED4" s="1">
        <v>7.8901526795778342E-3</v>
      </c>
      <c r="EE4" s="1">
        <v>-3.727802629793846E-4</v>
      </c>
      <c r="EF4" s="1">
        <v>2.373122690443057E-3</v>
      </c>
      <c r="EG4" s="1">
        <v>3.7203639192328204E-4</v>
      </c>
      <c r="EH4" s="1">
        <v>-2.7723307863952709E-3</v>
      </c>
      <c r="EI4" s="1">
        <v>-3.3563873067532965E-3</v>
      </c>
      <c r="EJ4" s="1">
        <v>1.3674864782120561E-2</v>
      </c>
      <c r="EK4" s="1">
        <v>-2.2819557703278861E-3</v>
      </c>
      <c r="EL4" s="1">
        <v>-1.3453970603081116E-4</v>
      </c>
      <c r="EM4" s="1">
        <v>-1.4128569986880576E-2</v>
      </c>
      <c r="EN4" s="1">
        <v>1.9892858361483551E-2</v>
      </c>
      <c r="EO4" s="1">
        <v>2.0408163265306201E-2</v>
      </c>
      <c r="EP4" s="1">
        <v>-3.2786885245909093E-4</v>
      </c>
      <c r="EQ4" s="1">
        <v>2.6566087241718672E-2</v>
      </c>
      <c r="ER4" s="1">
        <v>8.4345047923322248E-3</v>
      </c>
      <c r="ES4" s="1">
        <v>7.6352806995311912E-3</v>
      </c>
      <c r="ET4" s="1">
        <v>2.8423203898757941E-2</v>
      </c>
      <c r="EU4" s="1">
        <v>9.1412149561283119E-3</v>
      </c>
      <c r="EV4" s="1">
        <v>-1.3875424139602473E-2</v>
      </c>
      <c r="EW4" s="1">
        <v>4.5161290322581482E-3</v>
      </c>
      <c r="EX4" s="1">
        <v>1.538367434321183E-2</v>
      </c>
      <c r="EY4" s="1">
        <v>1.8072289156626505E-2</v>
      </c>
      <c r="EZ4" s="1">
        <v>2.0029585798816515E-2</v>
      </c>
      <c r="FA4" s="1">
        <v>-1.954926472720947E-2</v>
      </c>
      <c r="FB4" s="1">
        <v>5.2658048102240326E-3</v>
      </c>
      <c r="FC4" s="1">
        <v>-3.7815249698360913E-2</v>
      </c>
      <c r="FD4" s="1">
        <v>2.5201859554685617E-2</v>
      </c>
      <c r="FE4" s="1">
        <v>1.3961813842482121E-2</v>
      </c>
      <c r="FF4" s="1">
        <v>8.9443332941038615E-3</v>
      </c>
      <c r="FG4" s="1">
        <v>4.5783273066604254E-3</v>
      </c>
      <c r="FH4" s="1">
        <v>2.920258933495893E-2</v>
      </c>
      <c r="FI4" s="1">
        <v>1.2692144972500032E-3</v>
      </c>
      <c r="FJ4" s="1">
        <v>1.4084507042253521E-2</v>
      </c>
      <c r="FK4" s="1">
        <v>-4.4722222222222602E-3</v>
      </c>
      <c r="FL4" s="1">
        <v>4.5760205362872473E-3</v>
      </c>
      <c r="FM4" s="1">
        <v>4.9329222564786404E-2</v>
      </c>
      <c r="FN4" s="1">
        <v>2.9116705047777865E-2</v>
      </c>
      <c r="FO4" s="1">
        <v>-1.4815195864091277E-2</v>
      </c>
      <c r="FP4" s="1">
        <v>-3.4018223115682776E-2</v>
      </c>
      <c r="FQ4" s="1">
        <v>-2.8108108108108663E-3</v>
      </c>
      <c r="FR4" s="1">
        <v>-6.7758022549869903E-4</v>
      </c>
      <c r="FS4" s="1">
        <v>4.3394537712572218E-4</v>
      </c>
      <c r="FT4" s="1">
        <v>-1.3202483259684997E-2</v>
      </c>
      <c r="FU4" s="1">
        <v>9.6153846153846159E-3</v>
      </c>
      <c r="FV4" s="1">
        <v>6.2040816326529866E-3</v>
      </c>
      <c r="FW4" s="1">
        <v>-9.1405700686894801E-3</v>
      </c>
      <c r="FX4" s="1">
        <v>1.3537117903930231E-2</v>
      </c>
      <c r="FY4" s="1">
        <v>3.9853511417491418E-3</v>
      </c>
      <c r="FZ4" s="1">
        <v>-1.8345671065336272E-2</v>
      </c>
      <c r="GA4" s="1">
        <v>-1.1530054644808817E-2</v>
      </c>
      <c r="GB4" s="1">
        <v>-2.5429819227153496E-3</v>
      </c>
      <c r="GC4" s="1">
        <v>4.7109682425316981E-3</v>
      </c>
      <c r="GD4" s="1">
        <v>8.2469108561341823E-3</v>
      </c>
      <c r="GE4" s="1">
        <v>-3.5672274654630062E-2</v>
      </c>
      <c r="GF4" s="1">
        <v>-4.2835664236475302E-3</v>
      </c>
      <c r="GG4" s="1">
        <v>8.5470085470085479E-3</v>
      </c>
      <c r="GH4" s="1">
        <v>-1.1016949152541987E-3</v>
      </c>
      <c r="GI4" s="1">
        <v>-1.0208987302395332E-2</v>
      </c>
      <c r="GJ4" s="1">
        <v>1.7142857142857144E-2</v>
      </c>
      <c r="GK4" s="1">
        <v>-2.3539325842696617E-2</v>
      </c>
      <c r="GL4" s="1">
        <v>-8.5438122087337538E-3</v>
      </c>
      <c r="GM4" s="1">
        <v>1.4246336863484768E-2</v>
      </c>
      <c r="GN4" s="1">
        <v>-4.14235038333906E-2</v>
      </c>
      <c r="GO4" s="1">
        <v>2.8053002268115012E-3</v>
      </c>
      <c r="GP4" s="1">
        <v>1.6665674662222556E-3</v>
      </c>
      <c r="GQ4" s="1">
        <v>3.1404123833858204E-2</v>
      </c>
      <c r="GR4" s="1">
        <v>1.6419415238371022E-3</v>
      </c>
      <c r="GS4" s="1">
        <v>-2.2201771540319874E-2</v>
      </c>
      <c r="GT4" s="1">
        <v>-6.0294117647058824E-2</v>
      </c>
      <c r="GU4" s="1">
        <v>6.416275430359937E-2</v>
      </c>
      <c r="GV4" s="1">
        <v>-3.8823529411764505E-3</v>
      </c>
      <c r="GW4" s="1">
        <v>-3.1534191567261151E-2</v>
      </c>
      <c r="GX4" s="1">
        <v>3.2987804878048761E-2</v>
      </c>
      <c r="GY4" s="1">
        <v>-1.7177262263148554E-2</v>
      </c>
      <c r="GZ4" s="1">
        <v>4.3843843843843912E-2</v>
      </c>
      <c r="HA4" s="1">
        <v>3.9988492520137697E-3</v>
      </c>
      <c r="HB4" s="1">
        <v>-1.1432992349351009E-2</v>
      </c>
      <c r="HC4" s="1">
        <v>-1.579710144927533E-2</v>
      </c>
      <c r="HD4" s="1">
        <v>4.2703578265350867E-3</v>
      </c>
      <c r="HE4" s="1">
        <v>-5.8651026392961877E-3</v>
      </c>
      <c r="HF4" s="1">
        <v>-1.4749262536873156E-3</v>
      </c>
      <c r="HG4" s="1">
        <v>-2.2451994091580232E-3</v>
      </c>
      <c r="HH4" s="1">
        <v>-9.6938473381891418E-2</v>
      </c>
      <c r="HI4" s="1">
        <v>5.2032786885245916E-2</v>
      </c>
      <c r="HJ4" s="1">
        <v>1.4491850282045617E-2</v>
      </c>
      <c r="HK4" s="1">
        <v>2.5313344802162723E-2</v>
      </c>
      <c r="HL4" s="1">
        <v>-1.8815915627996085E-2</v>
      </c>
      <c r="HM4" s="1">
        <v>5.6797361670940412E-3</v>
      </c>
      <c r="HN4" s="1">
        <v>2.9665391388838402E-2</v>
      </c>
      <c r="HO4">
        <v>2.3237297632036788E-2</v>
      </c>
      <c r="HP4">
        <v>-2.043286550044679E-2</v>
      </c>
      <c r="HQ4">
        <v>7.6493086201824736E-3</v>
      </c>
      <c r="HR4">
        <v>3.4160583941606304E-3</v>
      </c>
      <c r="HS4">
        <v>1.9204469403787592E-3</v>
      </c>
      <c r="HT4">
        <v>-2.5266459501060161E-3</v>
      </c>
      <c r="HU4">
        <v>3.2784021428987502E-2</v>
      </c>
      <c r="HV4">
        <v>-7.6680198466396792E-3</v>
      </c>
      <c r="HW4">
        <v>-4.8323863636363609E-2</v>
      </c>
      <c r="HX4">
        <v>3.1941251977670941E-2</v>
      </c>
      <c r="HY4">
        <v>-2.4299227631692411E-3</v>
      </c>
      <c r="HZ4">
        <v>5.8286211396258976E-3</v>
      </c>
      <c r="IA4">
        <v>6.1408060889119398E-3</v>
      </c>
      <c r="IB4">
        <v>-3.1061061921545119E-2</v>
      </c>
      <c r="IC4">
        <v>-2.732515155995846E-2</v>
      </c>
      <c r="ID4">
        <v>-7.2937885743820527E-2</v>
      </c>
      <c r="IE4">
        <v>4.4864226682408519E-2</v>
      </c>
      <c r="IF4">
        <v>-2.3132454488386703E-2</v>
      </c>
    </row>
    <row r="5" spans="1:240">
      <c r="A5" t="s">
        <v>20</v>
      </c>
      <c r="B5" s="1">
        <v>-8.2533573478480275E-3</v>
      </c>
      <c r="C5" s="1">
        <v>4.2734862029062256E-3</v>
      </c>
      <c r="D5" s="1">
        <v>-3.8633818589025759E-2</v>
      </c>
      <c r="E5" s="1">
        <v>9.784535818287747E-3</v>
      </c>
      <c r="F5" s="1">
        <v>-7.6133808020289488E-3</v>
      </c>
      <c r="G5" s="1">
        <v>2.2085691448763415E-3</v>
      </c>
      <c r="H5" s="1">
        <v>2.6328006934298206E-2</v>
      </c>
      <c r="I5" s="1">
        <v>1.8081138621372665E-2</v>
      </c>
      <c r="J5" s="1">
        <v>3.3299144412052398E-4</v>
      </c>
      <c r="K5" s="1">
        <v>3.3288947478225524E-3</v>
      </c>
      <c r="L5" s="1">
        <v>3.295729205118704E-2</v>
      </c>
      <c r="M5" s="1">
        <v>1.6809438972162746E-2</v>
      </c>
      <c r="N5" s="1">
        <v>1.5057369442015462E-2</v>
      </c>
      <c r="O5" s="1">
        <v>4.1908738589211653E-2</v>
      </c>
      <c r="P5" s="1">
        <v>1.7921066875641321E-3</v>
      </c>
      <c r="Q5" s="1">
        <v>-4.1741362882268184E-3</v>
      </c>
      <c r="R5" s="1">
        <v>-1.68662914171657E-2</v>
      </c>
      <c r="S5" s="1">
        <v>-1.0861792976025755E-2</v>
      </c>
      <c r="T5" s="1">
        <v>2.4835746514718825E-2</v>
      </c>
      <c r="U5" s="1">
        <v>-2.4734581007039739E-2</v>
      </c>
      <c r="V5" s="1">
        <v>-4.7027463673211756E-2</v>
      </c>
      <c r="W5" s="1">
        <v>-2.6182515492274915E-2</v>
      </c>
      <c r="X5" s="1">
        <v>5.0896659453802725E-3</v>
      </c>
      <c r="Y5" s="1">
        <v>4.0730426048512956E-3</v>
      </c>
      <c r="Z5" s="1">
        <v>-9.7576584082707668E-3</v>
      </c>
      <c r="AA5" s="1">
        <v>-3.9526146332574917E-2</v>
      </c>
      <c r="AB5" s="1">
        <v>-3.0547550432276659E-2</v>
      </c>
      <c r="AC5" s="1">
        <v>-5.7074910820451845E-2</v>
      </c>
      <c r="AD5" s="1">
        <v>5.208068600252206E-2</v>
      </c>
      <c r="AE5" s="1">
        <v>2.2414019367882433E-2</v>
      </c>
      <c r="AF5" s="1">
        <v>1.6529866354044513E-2</v>
      </c>
      <c r="AG5" s="1">
        <v>-1.7645014904255948E-2</v>
      </c>
      <c r="AH5" s="1">
        <v>2.4888490723427865E-2</v>
      </c>
      <c r="AI5" s="1">
        <v>2.5773195876288658E-2</v>
      </c>
      <c r="AJ5" s="1">
        <v>-1.6303714126186454E-2</v>
      </c>
      <c r="AK5" s="1">
        <v>-3.5191734766033284E-3</v>
      </c>
      <c r="AL5" s="1">
        <v>-1.5834996870995575E-2</v>
      </c>
      <c r="AM5" s="1">
        <v>3.5073493643056057E-2</v>
      </c>
      <c r="AN5" s="1">
        <v>-3.9141131037510515E-3</v>
      </c>
      <c r="AO5" s="1">
        <v>-2.0657945065086884E-2</v>
      </c>
      <c r="AP5" s="1">
        <v>-2.384498954662367E-2</v>
      </c>
      <c r="AQ5" s="1">
        <v>2.7010968878449734E-3</v>
      </c>
      <c r="AR5" s="1">
        <v>1.6514453342974102E-2</v>
      </c>
      <c r="AS5" s="1">
        <v>1.7974392866245581E-2</v>
      </c>
      <c r="AT5" s="1">
        <v>2.4448190152801325E-2</v>
      </c>
      <c r="AU5" s="1">
        <v>2.8173683213090706E-2</v>
      </c>
      <c r="AV5" s="1">
        <v>1.7408132836659373E-2</v>
      </c>
      <c r="AW5" s="1">
        <v>-6.9708154959157564E-3</v>
      </c>
      <c r="AX5" s="1">
        <v>2.7653690233504526E-2</v>
      </c>
      <c r="AY5" s="1">
        <v>-3.5189732391807476E-3</v>
      </c>
      <c r="AZ5" s="1">
        <v>-5.6086000101137979E-3</v>
      </c>
      <c r="BA5" s="1">
        <v>8.6275301785453021E-2</v>
      </c>
      <c r="BB5" s="1">
        <v>-3.4615153846153553E-3</v>
      </c>
      <c r="BC5" s="1">
        <v>2.8367448204536155E-2</v>
      </c>
      <c r="BD5" s="1">
        <v>-7.5065487330514805E-4</v>
      </c>
      <c r="BE5" s="1">
        <v>-3.5117393427230074E-2</v>
      </c>
      <c r="BF5" s="1">
        <v>-2.8999603635646617E-2</v>
      </c>
      <c r="BG5" s="1">
        <v>1.7839238610370609E-2</v>
      </c>
      <c r="BH5" s="1">
        <v>1.9692792903335003E-3</v>
      </c>
      <c r="BI5" s="1">
        <v>-1.1202791144719882E-2</v>
      </c>
      <c r="BJ5" s="1">
        <v>1.2919896435382286E-2</v>
      </c>
      <c r="BK5" s="1">
        <v>9.811616800445577E-4</v>
      </c>
      <c r="BL5" s="1">
        <v>-8.6257516780905187E-3</v>
      </c>
      <c r="BM5" s="1">
        <v>-5.141395962632511E-3</v>
      </c>
      <c r="BN5" s="1">
        <v>3.9753527493483955E-3</v>
      </c>
      <c r="BO5" s="1">
        <v>-7.2460913522693904E-2</v>
      </c>
      <c r="BP5" s="1">
        <v>4.7598693703308402E-2</v>
      </c>
      <c r="BQ5" s="1">
        <v>-2.2921760951632297E-2</v>
      </c>
      <c r="BR5" s="1">
        <v>2.1061420608355877E-2</v>
      </c>
      <c r="BS5" s="1">
        <v>-3.2165833263201604E-2</v>
      </c>
      <c r="BT5" s="1">
        <v>-1.45600171269891E-2</v>
      </c>
      <c r="BU5" s="1">
        <v>-7.601687366166991E-3</v>
      </c>
      <c r="BV5" s="1">
        <v>1.72615811691895E-3</v>
      </c>
      <c r="BW5" s="1">
        <v>-6.462035541195477E-3</v>
      </c>
      <c r="BX5" s="1">
        <v>9.1057170731707639E-3</v>
      </c>
      <c r="BY5" s="1">
        <v>-2.8681928576252808E-2</v>
      </c>
      <c r="BZ5" s="1">
        <v>5.6292810328815529E-2</v>
      </c>
      <c r="CA5" s="1">
        <v>2.6384680801206539E-2</v>
      </c>
      <c r="CB5" s="1">
        <v>3.5193308745376864E-2</v>
      </c>
      <c r="CC5" s="1">
        <v>8.0804258270465289E-3</v>
      </c>
      <c r="CD5" s="1">
        <v>2.1504907135874284E-3</v>
      </c>
      <c r="CE5" s="1">
        <v>3.1603614433255489E-2</v>
      </c>
      <c r="CF5" s="1">
        <v>-6.4295841095971329E-3</v>
      </c>
      <c r="CG5" s="1">
        <v>4.6631136050347799E-2</v>
      </c>
      <c r="CH5" s="1">
        <v>1.1456606155740019E-2</v>
      </c>
      <c r="CI5" s="1">
        <v>3.8475303017433148E-2</v>
      </c>
      <c r="CJ5" s="1">
        <v>-1.5754806748814632E-2</v>
      </c>
      <c r="CK5" s="1">
        <v>1.4071908531222248E-3</v>
      </c>
      <c r="CL5" s="1">
        <v>8.7827158007949932E-4</v>
      </c>
      <c r="CM5" s="1">
        <v>3.3345455247711067E-3</v>
      </c>
      <c r="CN5" s="1">
        <v>2.3613782957205884E-2</v>
      </c>
      <c r="CO5" s="1">
        <v>6.6643265892481806E-3</v>
      </c>
      <c r="CP5" s="1">
        <v>-6.7894078474712834E-4</v>
      </c>
      <c r="CQ5" s="1">
        <v>5.0957702375583583E-4</v>
      </c>
      <c r="CR5" s="1">
        <v>6.6044183361629927E-2</v>
      </c>
      <c r="CS5" s="1">
        <v>2.5163222481418449E-2</v>
      </c>
      <c r="CT5" s="1">
        <v>-6.1674710672523669E-2</v>
      </c>
      <c r="CU5" s="1">
        <v>4.5198655629139051E-2</v>
      </c>
      <c r="CV5" s="1">
        <v>2.6295004459908282E-2</v>
      </c>
      <c r="CW5" s="1">
        <v>-1.35824165365366E-2</v>
      </c>
      <c r="CX5" s="1">
        <v>4.8349280488785423E-2</v>
      </c>
      <c r="CY5" s="1">
        <v>-4.7761373134328584E-3</v>
      </c>
      <c r="CZ5" s="1">
        <v>6.8986743892983475E-3</v>
      </c>
      <c r="DA5" s="1">
        <v>9.8301694430680715E-3</v>
      </c>
      <c r="DB5" s="1">
        <v>1.6076731563421872E-2</v>
      </c>
      <c r="DC5" s="1">
        <v>1.6112607944980952E-2</v>
      </c>
      <c r="DD5" s="1">
        <v>-1.2285679999999957E-2</v>
      </c>
      <c r="DE5" s="1">
        <v>-2.7046588589646932E-2</v>
      </c>
      <c r="DF5" s="1">
        <v>7.4327336268874625E-4</v>
      </c>
      <c r="DG5" s="1">
        <v>2.153891821380419E-2</v>
      </c>
      <c r="DH5" s="1">
        <v>1.3086578221550974E-3</v>
      </c>
      <c r="DI5" s="1">
        <v>-2.0911943801752261E-2</v>
      </c>
      <c r="DJ5" s="1">
        <v>-6.7635768597405554E-2</v>
      </c>
      <c r="DK5" s="1">
        <v>1.9408228548834713E-2</v>
      </c>
      <c r="DL5" s="1">
        <v>-1.9475624584437346E-2</v>
      </c>
      <c r="DM5" s="1">
        <v>5.067475743984267E-2</v>
      </c>
      <c r="DN5" s="1">
        <v>-3.9989579980168714E-3</v>
      </c>
      <c r="DO5" s="1">
        <v>5.231779862763632E-3</v>
      </c>
      <c r="DP5" s="1">
        <v>-1.0409107649203934E-2</v>
      </c>
      <c r="DQ5" s="1">
        <v>-2.0547944702839008E-2</v>
      </c>
      <c r="DR5" s="1">
        <v>2.7097876446107068E-2</v>
      </c>
      <c r="DS5" s="1">
        <v>1.0942267477203671E-2</v>
      </c>
      <c r="DT5" s="1">
        <v>-1.4672290775605053E-2</v>
      </c>
      <c r="DU5" s="1">
        <v>1.87965396143259E-2</v>
      </c>
      <c r="DV5" s="1">
        <v>-1.8569581663237186E-2</v>
      </c>
      <c r="DW5" s="1">
        <v>3.8085975050927083E-2</v>
      </c>
      <c r="DX5" s="1">
        <v>2.0460935789499812E-2</v>
      </c>
      <c r="DY5" s="1">
        <v>-2.1894734061935817E-3</v>
      </c>
      <c r="DZ5" s="1">
        <v>0</v>
      </c>
      <c r="EA5" s="1">
        <v>-1.6283589987210502E-2</v>
      </c>
      <c r="EB5" s="1">
        <v>-2.1131756156775365E-2</v>
      </c>
      <c r="EC5" s="1">
        <v>2.0388636974953033E-2</v>
      </c>
      <c r="ED5" s="1">
        <v>1.1753467048580032E-3</v>
      </c>
      <c r="EE5" s="1">
        <v>-2.1601361695225717E-2</v>
      </c>
      <c r="EF5" s="1">
        <v>-3.5995921838086068E-4</v>
      </c>
      <c r="EG5" s="1">
        <v>-6.8419099400404432E-3</v>
      </c>
      <c r="EH5" s="1">
        <v>4.3872426731264826E-2</v>
      </c>
      <c r="EI5" s="1">
        <v>1.1578093910556505E-2</v>
      </c>
      <c r="EJ5" s="1">
        <v>5.6655566651723471E-2</v>
      </c>
      <c r="EK5" s="1">
        <v>2.0580860163458476E-3</v>
      </c>
      <c r="EL5" s="1">
        <v>2.9294118921324813E-2</v>
      </c>
      <c r="EM5" s="1">
        <v>-1.6908217633814122E-2</v>
      </c>
      <c r="EN5" s="1">
        <v>1.8160420798203031E-2</v>
      </c>
      <c r="EO5" s="1">
        <v>7.2395605718068102E-3</v>
      </c>
      <c r="EP5" s="1">
        <v>-1.093753125000004E-2</v>
      </c>
      <c r="EQ5" s="1">
        <v>1.1585097785732229E-3</v>
      </c>
      <c r="ER5" s="1">
        <v>1.4727488289698496E-3</v>
      </c>
      <c r="ES5" s="1">
        <v>1.0924380596356571E-2</v>
      </c>
      <c r="ET5" s="1">
        <v>-1.7664017407814732E-3</v>
      </c>
      <c r="EU5" s="1">
        <v>-2.4669537965387397E-2</v>
      </c>
      <c r="EV5" s="1">
        <v>8.1110141337571232E-3</v>
      </c>
      <c r="EW5" s="1">
        <v>1.7996877175491554E-3</v>
      </c>
      <c r="EX5" s="1">
        <v>-1.0461777725398332E-2</v>
      </c>
      <c r="EY5" s="1">
        <v>8.0093977360604328E-3</v>
      </c>
      <c r="EZ5" s="1">
        <v>-1.218350997024851E-2</v>
      </c>
      <c r="FA5" s="1">
        <v>3.2175354615516377E-3</v>
      </c>
      <c r="FB5" s="1">
        <v>2.0312432966511449E-3</v>
      </c>
      <c r="FC5" s="1">
        <v>-3.9795192155305907E-2</v>
      </c>
      <c r="FD5" s="1">
        <v>1.0777788888888848E-2</v>
      </c>
      <c r="FE5" s="1">
        <v>1.5719473279988263E-2</v>
      </c>
      <c r="FF5" s="1">
        <v>2.6731612120157771E-2</v>
      </c>
      <c r="FG5" s="1">
        <v>-1.6021966479868071E-2</v>
      </c>
      <c r="FH5" s="1">
        <v>-1.199780415636539E-2</v>
      </c>
      <c r="FI5" s="1">
        <v>-3.5021179414787676E-2</v>
      </c>
      <c r="FJ5" s="1">
        <v>-5.2809101123595095E-3</v>
      </c>
      <c r="FK5" s="1">
        <v>1.6491573664199365E-2</v>
      </c>
      <c r="FL5" s="1">
        <v>-1.6446227724107736E-2</v>
      </c>
      <c r="FM5" s="1">
        <v>-3.547621092585674E-2</v>
      </c>
      <c r="FN5" s="1">
        <v>3.0807044898470068E-2</v>
      </c>
      <c r="FO5" s="1">
        <v>8.1818295454545043E-3</v>
      </c>
      <c r="FP5" s="1">
        <v>3.3476121128537963E-2</v>
      </c>
      <c r="FQ5" s="1">
        <v>-1.1342577943544103E-2</v>
      </c>
      <c r="FR5" s="1">
        <v>-5.5160506533476227E-4</v>
      </c>
      <c r="FS5" s="1">
        <v>-8.7196579810098311E-3</v>
      </c>
      <c r="FT5" s="1">
        <v>-1.5588409297081611E-3</v>
      </c>
      <c r="FU5" s="1">
        <v>3.5686456689783701E-2</v>
      </c>
      <c r="FV5" s="1">
        <v>1.3998012975180102E-2</v>
      </c>
      <c r="FW5" s="1">
        <v>1.2530535468419477E-2</v>
      </c>
      <c r="FX5" s="1">
        <v>3.4609544330512754E-3</v>
      </c>
      <c r="FY5" s="1">
        <v>-5.2257524810527143E-3</v>
      </c>
      <c r="FZ5" s="1">
        <v>1.2187392245285734E-2</v>
      </c>
      <c r="GA5" s="1">
        <v>1.5050908788438722E-2</v>
      </c>
      <c r="GB5" s="1">
        <v>1.3293746668434888E-2</v>
      </c>
      <c r="GC5" s="1">
        <v>7.7555810590829957E-2</v>
      </c>
      <c r="GD5" s="1">
        <v>4.2144415235620125E-3</v>
      </c>
      <c r="GE5" s="1">
        <v>-1.5388216582721631E-2</v>
      </c>
      <c r="GF5" s="1">
        <v>4.0966181604532803E-2</v>
      </c>
      <c r="GG5" s="1">
        <v>4.1628725546468681E-2</v>
      </c>
      <c r="GH5" s="1">
        <v>-3.0574230581885365E-3</v>
      </c>
      <c r="GI5" s="1">
        <v>0.15706464841182916</v>
      </c>
      <c r="GJ5" s="1">
        <v>9.4661111064117121E-3</v>
      </c>
      <c r="GK5" s="1">
        <v>1.9879924533835098E-2</v>
      </c>
      <c r="GL5" s="1">
        <v>-4.5421133771705813E-2</v>
      </c>
      <c r="GM5" s="1">
        <v>1.2329077819105949E-2</v>
      </c>
      <c r="GN5" s="1">
        <v>1.5413845861084623E-2</v>
      </c>
      <c r="GO5" s="1">
        <v>-1.7428763902343176E-2</v>
      </c>
      <c r="GP5" s="1">
        <v>1.9263849382350255E-2</v>
      </c>
      <c r="GQ5" s="1">
        <v>-5.2396105431313763E-3</v>
      </c>
      <c r="GR5" s="1">
        <v>7.0353697683387464E-2</v>
      </c>
      <c r="GS5" s="1">
        <v>1.2302284710017574E-2</v>
      </c>
      <c r="GT5" s="1">
        <v>2.7083291666666613E-2</v>
      </c>
      <c r="GU5" s="1">
        <v>-5.797834582738385E-2</v>
      </c>
      <c r="GV5" s="1">
        <v>3.5887314607299076E-2</v>
      </c>
      <c r="GW5" s="1">
        <v>-3.0313529124826519E-2</v>
      </c>
      <c r="GX5" s="1">
        <v>3.4476578088100972E-2</v>
      </c>
      <c r="GY5" s="1">
        <v>-1.9513017558819561E-2</v>
      </c>
      <c r="GZ5" s="1">
        <v>3.1349046101071747E-2</v>
      </c>
      <c r="HA5" s="1">
        <v>-3.7909755652039065E-2</v>
      </c>
      <c r="HB5" s="1">
        <v>-3.567631370920929E-2</v>
      </c>
      <c r="HC5" s="1">
        <v>-4.1781727409130769E-2</v>
      </c>
      <c r="HD5" s="1">
        <v>0</v>
      </c>
      <c r="HE5" s="1">
        <v>8.8359589167556943E-2</v>
      </c>
      <c r="HF5" s="1">
        <v>-1.1295383464682594E-2</v>
      </c>
      <c r="HG5" s="1">
        <v>-5.0160720096521609E-2</v>
      </c>
      <c r="HH5" s="1">
        <v>-3.3264335272211967E-2</v>
      </c>
      <c r="HI5" s="1">
        <v>-3.402027446250671E-2</v>
      </c>
      <c r="HJ5" s="1">
        <v>2.1332272344523329E-2</v>
      </c>
      <c r="HK5" s="1">
        <v>1.9704433497536944E-3</v>
      </c>
      <c r="HL5" s="1">
        <v>-8.062941986234036E-3</v>
      </c>
      <c r="HM5" s="1">
        <v>-3.786678474861363E-2</v>
      </c>
      <c r="HN5" s="1">
        <v>2.1224022779081593E-2</v>
      </c>
      <c r="HO5">
        <v>4.8022634608281302E-2</v>
      </c>
      <c r="HP5">
        <v>2.3103579987512668E-2</v>
      </c>
      <c r="HQ5">
        <v>2.1829084448818106E-2</v>
      </c>
      <c r="HR5">
        <v>-1.7127049723756879E-2</v>
      </c>
      <c r="HS5">
        <v>-1.8549791600904125E-2</v>
      </c>
      <c r="HT5">
        <v>1.1072905942869141E-2</v>
      </c>
      <c r="HU5">
        <v>1.6049849669932767E-2</v>
      </c>
      <c r="HV5">
        <v>-5.2034884313022091E-2</v>
      </c>
      <c r="HW5">
        <v>-1.2350554647905694E-2</v>
      </c>
      <c r="HX5">
        <v>-1.925363682223823E-2</v>
      </c>
      <c r="HY5">
        <v>-6.4764216983231523E-2</v>
      </c>
      <c r="HZ5">
        <v>5.6264877001538059E-2</v>
      </c>
      <c r="IA5">
        <v>2.868252372035399E-3</v>
      </c>
      <c r="IB5">
        <v>-2.6353409601634306E-2</v>
      </c>
      <c r="IC5">
        <v>-7.7633486223666042E-3</v>
      </c>
      <c r="ID5">
        <v>-2.1780478178648453E-2</v>
      </c>
      <c r="IE5">
        <v>-3.6748810591238946E-2</v>
      </c>
      <c r="IF5">
        <v>6.7324954210166684E-3</v>
      </c>
    </row>
    <row r="6" spans="1:240">
      <c r="A6" t="s">
        <v>0</v>
      </c>
      <c r="B6" s="1">
        <v>-3.231235334489665E-3</v>
      </c>
      <c r="C6" s="1">
        <v>-3.2786570870489619E-2</v>
      </c>
      <c r="D6" s="1">
        <v>-4.4389790528233185E-2</v>
      </c>
      <c r="E6" s="1">
        <v>4.3058852495483947E-2</v>
      </c>
      <c r="F6" s="1">
        <v>-2.3866084375783775E-2</v>
      </c>
      <c r="G6" s="1">
        <v>3.7872628093756307E-2</v>
      </c>
      <c r="H6" s="1">
        <v>-1.605395075522687E-3</v>
      </c>
      <c r="I6" s="1">
        <v>-1.9132840108401019E-2</v>
      </c>
      <c r="J6" s="1">
        <v>2.3079386312912717E-2</v>
      </c>
      <c r="K6" s="1">
        <v>-4.7349920613029579E-3</v>
      </c>
      <c r="L6" s="1">
        <v>2.0242039833729727E-2</v>
      </c>
      <c r="M6" s="1">
        <v>2.6595744680851063E-3</v>
      </c>
      <c r="N6" s="1">
        <v>2.4580282935454437E-3</v>
      </c>
      <c r="O6" s="1">
        <v>4.3429932347635404E-2</v>
      </c>
      <c r="P6" s="1">
        <v>1.0954979443205145E-2</v>
      </c>
      <c r="Q6" s="1">
        <v>8.6122261009752253E-3</v>
      </c>
      <c r="R6" s="1">
        <v>-2.5798318156688628E-2</v>
      </c>
      <c r="S6" s="1">
        <v>-8.6797318704595148E-3</v>
      </c>
      <c r="T6" s="1">
        <v>2.0464298189270088E-2</v>
      </c>
      <c r="U6" s="1">
        <v>-2.6749702823026855E-2</v>
      </c>
      <c r="V6" s="1">
        <v>2.8539343128781272E-2</v>
      </c>
      <c r="W6" s="1">
        <v>-5.9225877561286611E-2</v>
      </c>
      <c r="X6" s="1">
        <v>1.3076811437668487E-2</v>
      </c>
      <c r="Y6" s="1">
        <v>2.9025305006818648E-2</v>
      </c>
      <c r="Z6" s="1">
        <v>-3.4975534949372729E-2</v>
      </c>
      <c r="AA6" s="1">
        <v>-3.4698367154747438E-2</v>
      </c>
      <c r="AB6" s="1">
        <v>-6.0890319097438611E-2</v>
      </c>
      <c r="AC6" s="1">
        <v>3.2399565132223349E-2</v>
      </c>
      <c r="AD6" s="1">
        <v>2.3679497800829116E-2</v>
      </c>
      <c r="AE6" s="1">
        <v>-3.0008159845486448E-2</v>
      </c>
      <c r="AF6" s="1">
        <v>4.0261415006890448E-2</v>
      </c>
      <c r="AG6" s="1">
        <v>-1.2435743390048137E-2</v>
      </c>
      <c r="AH6" s="1">
        <v>1.7781740064898473E-2</v>
      </c>
      <c r="AI6" s="1">
        <v>4.0022715912121747E-3</v>
      </c>
      <c r="AJ6" s="1">
        <v>1.8548185058173076E-2</v>
      </c>
      <c r="AK6" s="1">
        <v>-3.6420831611870118E-2</v>
      </c>
      <c r="AL6" s="1">
        <v>1.5263600900374171E-2</v>
      </c>
      <c r="AM6" s="1">
        <v>5.2190288786005151E-2</v>
      </c>
      <c r="AN6" s="1">
        <v>-2.9722730077305713E-2</v>
      </c>
      <c r="AO6" s="1">
        <v>3.5267633217632266E-2</v>
      </c>
      <c r="AP6" s="1">
        <v>9.3677327953758244E-3</v>
      </c>
      <c r="AQ6" s="1">
        <v>7.1352710616438358E-2</v>
      </c>
      <c r="AR6" s="1">
        <v>-2.8241698467417132E-2</v>
      </c>
      <c r="AS6" s="1">
        <v>-1.103622039473681E-2</v>
      </c>
      <c r="AT6" s="1">
        <v>2.6725885326497213E-2</v>
      </c>
      <c r="AU6" s="1">
        <v>3.1974846895851075E-2</v>
      </c>
      <c r="AV6" s="1">
        <v>-1.428343484979188E-2</v>
      </c>
      <c r="AW6" s="1">
        <v>-2.292996815286703E-3</v>
      </c>
      <c r="AX6" s="1">
        <v>2.1258948931495675E-2</v>
      </c>
      <c r="AY6" s="1">
        <v>-8.6891260182445466E-3</v>
      </c>
      <c r="AZ6" s="1">
        <v>-6.1325733968218736E-3</v>
      </c>
      <c r="BA6" s="1">
        <v>-2.0779436488516665E-3</v>
      </c>
      <c r="BB6" s="1">
        <v>2.9723979763193143E-3</v>
      </c>
      <c r="BC6" s="1">
        <v>1.7591462901019917E-2</v>
      </c>
      <c r="BD6" s="1">
        <v>5.6066514797310282E-3</v>
      </c>
      <c r="BE6" s="1">
        <v>-2.4129252352896115E-2</v>
      </c>
      <c r="BF6" s="1">
        <v>-2.0901086022307679E-2</v>
      </c>
      <c r="BG6" s="1">
        <v>6.2485797443881719E-2</v>
      </c>
      <c r="BH6" s="1">
        <v>-1.2814784555291333E-2</v>
      </c>
      <c r="BI6" s="1">
        <v>3.681086866758352E-2</v>
      </c>
      <c r="BJ6" s="1">
        <v>-7.0049785949446129E-4</v>
      </c>
      <c r="BK6" s="1">
        <v>3.5349859688114204E-3</v>
      </c>
      <c r="BL6" s="1">
        <v>-1.1102645653609904E-2</v>
      </c>
      <c r="BM6" s="1">
        <v>-4.298624588837504E-3</v>
      </c>
      <c r="BN6" s="1">
        <v>-2.1706322355582709E-2</v>
      </c>
      <c r="BO6" s="1">
        <v>-2.9470724745096998E-2</v>
      </c>
      <c r="BP6" s="1">
        <v>2.0476955484896635E-2</v>
      </c>
      <c r="BQ6" s="1">
        <v>3.8325262990548848E-3</v>
      </c>
      <c r="BR6" s="1">
        <v>2.208458174832598E-2</v>
      </c>
      <c r="BS6" s="1">
        <v>-4.7542397417439729E-2</v>
      </c>
      <c r="BT6" s="1">
        <v>5.4203407610825868E-3</v>
      </c>
      <c r="BU6" s="1">
        <v>-4.5634683081432932E-2</v>
      </c>
      <c r="BV6" s="1">
        <v>7.6227827172959478E-2</v>
      </c>
      <c r="BW6" s="1">
        <v>-1.9158382438582457E-2</v>
      </c>
      <c r="BX6" s="1">
        <v>-4.9735958438124192E-3</v>
      </c>
      <c r="BY6" s="1">
        <v>-2.2302994282406199E-3</v>
      </c>
      <c r="BZ6" s="1">
        <v>2.8520229197047123E-2</v>
      </c>
      <c r="CA6" s="1">
        <v>-1.4720237843296239E-2</v>
      </c>
      <c r="CB6" s="1">
        <v>5.1734940240157221E-2</v>
      </c>
      <c r="CC6" s="1">
        <v>-9.6981335634308292E-3</v>
      </c>
      <c r="CD6" s="1">
        <v>-1.021363202867082E-3</v>
      </c>
      <c r="CE6" s="1">
        <v>1.5606825510255357E-2</v>
      </c>
      <c r="CF6" s="1">
        <v>-5.4332289480859865E-3</v>
      </c>
      <c r="CG6" s="1">
        <v>3.4088107188236195E-3</v>
      </c>
      <c r="CH6" s="1">
        <v>-1.2164565075222535E-2</v>
      </c>
      <c r="CI6" s="1">
        <v>2.6145418324075693E-2</v>
      </c>
      <c r="CJ6" s="1">
        <v>-1.9318132931095996E-3</v>
      </c>
      <c r="CK6" s="1">
        <v>-1.8328983792163518E-3</v>
      </c>
      <c r="CL6" s="1">
        <v>2.7324299717194898E-3</v>
      </c>
      <c r="CM6" s="1">
        <v>2.5417855980483125E-2</v>
      </c>
      <c r="CN6" s="1">
        <v>-4.1574606276039584E-3</v>
      </c>
      <c r="CO6" s="1">
        <v>1.7646281348374999E-2</v>
      </c>
      <c r="CP6" s="1">
        <v>-1.0643829838093522E-2</v>
      </c>
      <c r="CQ6" s="1">
        <v>-3.8901662731699485E-3</v>
      </c>
      <c r="CR6" s="1">
        <v>-3.1467134507695153E-4</v>
      </c>
      <c r="CS6" s="1">
        <v>-3.9723551256671284E-2</v>
      </c>
      <c r="CT6" s="1">
        <v>1.4275734126201228E-2</v>
      </c>
      <c r="CU6" s="1">
        <v>7.5809502946552745E-3</v>
      </c>
      <c r="CV6" s="1">
        <v>1.3400215842289382E-2</v>
      </c>
      <c r="CW6" s="1">
        <v>-1.2647450359712258E-2</v>
      </c>
      <c r="CX6" s="1">
        <v>2.6085254406266994E-2</v>
      </c>
      <c r="CY6" s="1">
        <v>-6.1068868381419675E-4</v>
      </c>
      <c r="CZ6" s="1">
        <v>-1.8246882287017083E-2</v>
      </c>
      <c r="DA6" s="1">
        <v>-1.6689868203018893E-2</v>
      </c>
      <c r="DB6" s="1">
        <v>1.2115205170291148E-2</v>
      </c>
      <c r="DC6" s="1">
        <v>-2.4289249402745304E-3</v>
      </c>
      <c r="DD6" s="1">
        <v>6.2839868071498748E-3</v>
      </c>
      <c r="DE6" s="1">
        <v>-2.3892305148288932E-2</v>
      </c>
      <c r="DF6" s="1">
        <v>2.6228655535250174E-2</v>
      </c>
      <c r="DG6" s="1">
        <v>2.3793701337805801E-2</v>
      </c>
      <c r="DH6" s="1">
        <v>-1.9638250433415727E-3</v>
      </c>
      <c r="DI6" s="1">
        <v>1.428332612725646E-2</v>
      </c>
      <c r="DJ6" s="1">
        <v>-4.0599610045922406E-2</v>
      </c>
      <c r="DK6" s="1">
        <v>-4.9750997709940041E-3</v>
      </c>
      <c r="DL6" s="1">
        <v>7.3081871345007053E-5</v>
      </c>
      <c r="DM6" s="1">
        <v>5.4016537750454598E-2</v>
      </c>
      <c r="DN6" s="1">
        <v>1.2371682385575592E-2</v>
      </c>
      <c r="DO6" s="1">
        <v>2.4961684053524461E-2</v>
      </c>
      <c r="DP6" s="1">
        <v>7.9530727948030101E-3</v>
      </c>
      <c r="DQ6" s="1">
        <v>-1.1258670312583241E-2</v>
      </c>
      <c r="DR6" s="1">
        <v>1.9125549167131523E-2</v>
      </c>
      <c r="DS6" s="1">
        <v>7.6988354637465596E-3</v>
      </c>
      <c r="DT6" s="1">
        <v>1.3451149526681441E-3</v>
      </c>
      <c r="DU6" s="1">
        <v>3.7953335393397128E-3</v>
      </c>
      <c r="DV6" s="1">
        <v>1.2837009929073922E-2</v>
      </c>
      <c r="DW6" s="1">
        <v>2.0460983421589193E-2</v>
      </c>
      <c r="DX6" s="1">
        <v>-9.1765980081604946E-4</v>
      </c>
      <c r="DY6" s="1">
        <v>-1.4432174897766577E-2</v>
      </c>
      <c r="DZ6" s="1">
        <v>6.8940401900633094E-3</v>
      </c>
      <c r="EA6" s="1">
        <v>7.7342522368264457E-4</v>
      </c>
      <c r="EB6" s="1">
        <v>-8.8696172447830503E-5</v>
      </c>
      <c r="EC6" s="1">
        <v>-1.0326606395519045E-2</v>
      </c>
      <c r="ED6" s="1">
        <v>1.0101546505805014E-2</v>
      </c>
      <c r="EE6" s="1">
        <v>-2.0407193712028305E-3</v>
      </c>
      <c r="EF6" s="1">
        <v>-1.3704170100844735E-2</v>
      </c>
      <c r="EG6" s="1">
        <v>-5.2925543558579435E-3</v>
      </c>
      <c r="EH6" s="1">
        <v>1.1728911721474541E-2</v>
      </c>
      <c r="EI6" s="1">
        <v>8.5347377700254953E-3</v>
      </c>
      <c r="EJ6" s="1">
        <v>2.9739402431139927E-2</v>
      </c>
      <c r="EK6" s="1">
        <v>-7.4049555666749756E-3</v>
      </c>
      <c r="EL6" s="1">
        <v>2.805340105112979E-3</v>
      </c>
      <c r="EM6" s="1">
        <v>3.8001250436340717E-3</v>
      </c>
      <c r="EN6" s="1">
        <v>2.7104324544098578E-2</v>
      </c>
      <c r="EO6" s="1">
        <v>8.0080249437357552E-3</v>
      </c>
      <c r="EP6" s="1">
        <v>-7.8014849978678283E-3</v>
      </c>
      <c r="EQ6" s="1">
        <v>1.0959864161525249E-2</v>
      </c>
      <c r="ER6" s="1">
        <v>2.269143567896555E-2</v>
      </c>
      <c r="ES6" s="1">
        <v>-3.6806194190762568E-3</v>
      </c>
      <c r="ET6" s="1">
        <v>4.2652283086998376E-3</v>
      </c>
      <c r="EU6" s="1">
        <v>-4.3863558864579788E-3</v>
      </c>
      <c r="EV6" s="1">
        <v>-5.2331496315009855E-3</v>
      </c>
      <c r="EW6" s="1">
        <v>6.2917340363210514E-3</v>
      </c>
      <c r="EX6" s="1">
        <v>1.4402639598557657E-2</v>
      </c>
      <c r="EY6" s="1">
        <v>1.931731462418294E-2</v>
      </c>
      <c r="EZ6" s="1">
        <v>1.4188183252088658E-3</v>
      </c>
      <c r="FA6" s="1">
        <v>-2.2713941522116052E-3</v>
      </c>
      <c r="FB6" s="1">
        <v>-3.0947495308172986E-2</v>
      </c>
      <c r="FC6" s="1">
        <v>-2.2224790990748294E-2</v>
      </c>
      <c r="FD6" s="1">
        <v>1.6640091070248626E-2</v>
      </c>
      <c r="FE6" s="1">
        <v>1.1711312618284526E-2</v>
      </c>
      <c r="FF6" s="1">
        <v>1.7392556345173744E-2</v>
      </c>
      <c r="FG6" s="1">
        <v>-1.2457684465124385E-2</v>
      </c>
      <c r="FH6" s="1">
        <v>-3.8569564155996792E-2</v>
      </c>
      <c r="FI6" s="1">
        <v>-6.6011439025059959E-2</v>
      </c>
      <c r="FJ6" s="1">
        <v>-3.8132715495669101E-2</v>
      </c>
      <c r="FK6" s="1">
        <v>-7.0760349141714557E-3</v>
      </c>
      <c r="FL6" s="1">
        <v>-4.4288589153722059E-3</v>
      </c>
      <c r="FM6" s="1">
        <v>-3.8918316115766211E-2</v>
      </c>
      <c r="FN6" s="1">
        <v>2.795465669494018E-2</v>
      </c>
      <c r="FO6" s="1">
        <v>-5.0485761802817046E-4</v>
      </c>
      <c r="FP6" s="1">
        <v>1.9549497610921545E-2</v>
      </c>
      <c r="FQ6" s="1">
        <v>-2.2160610113381694E-2</v>
      </c>
      <c r="FR6" s="1">
        <v>-1.1475214332364481E-2</v>
      </c>
      <c r="FS6" s="1">
        <v>4.3773607257887289E-3</v>
      </c>
      <c r="FT6" s="1">
        <v>2.6715392484083479E-2</v>
      </c>
      <c r="FU6" s="1">
        <v>4.5498503228653946E-2</v>
      </c>
      <c r="FV6" s="1">
        <v>1.4274944190531528E-2</v>
      </c>
      <c r="FW6" s="1">
        <v>-1.4948732760616732E-3</v>
      </c>
      <c r="FX6" s="1">
        <v>1.6163065475030946E-2</v>
      </c>
      <c r="FY6" s="1">
        <v>-4.152518114068865E-2</v>
      </c>
      <c r="FZ6" s="1">
        <v>2.5869461625070204E-2</v>
      </c>
      <c r="GA6" s="1">
        <v>1.702723987258687E-2</v>
      </c>
      <c r="GB6" s="1">
        <v>-1.5643494080503972E-2</v>
      </c>
      <c r="GC6" s="1">
        <v>3.5386053382916831E-3</v>
      </c>
      <c r="GD6" s="1">
        <v>1.2347889042323756E-2</v>
      </c>
      <c r="GE6" s="1">
        <v>1.5218479400749125E-2</v>
      </c>
      <c r="GF6" s="1">
        <v>-3.8121103215440995E-4</v>
      </c>
      <c r="GG6" s="1">
        <v>-1.0579482761418615E-3</v>
      </c>
      <c r="GH6" s="1">
        <v>2.2166941154973002E-2</v>
      </c>
      <c r="GI6" s="1">
        <v>2.0457313788648079E-2</v>
      </c>
      <c r="GJ6" s="1">
        <v>3.4592597402597022E-3</v>
      </c>
      <c r="GK6" s="1">
        <v>1.4118221616873472E-4</v>
      </c>
      <c r="GL6" s="1">
        <v>-3.7880139350110802E-2</v>
      </c>
      <c r="GM6" s="1">
        <v>1.9001087553984327E-2</v>
      </c>
      <c r="GN6" s="1">
        <v>2.1886499324089016E-2</v>
      </c>
      <c r="GO6" s="1">
        <v>5.9767339925981171E-3</v>
      </c>
      <c r="GP6" s="1">
        <v>4.4705587935920761E-3</v>
      </c>
      <c r="GQ6" s="1">
        <v>-1.2665923132869814E-3</v>
      </c>
      <c r="GR6" s="1">
        <v>2.287479637999967E-2</v>
      </c>
      <c r="GS6" s="1">
        <v>-2.496816376017021E-2</v>
      </c>
      <c r="GT6" s="1">
        <v>-3.6655486803251723E-2</v>
      </c>
      <c r="GU6" s="1">
        <v>-2.2125364819860788E-2</v>
      </c>
      <c r="GV6" s="1">
        <v>-6.3035185095239223E-3</v>
      </c>
      <c r="GW6" s="1">
        <v>-2.5386650655167868E-2</v>
      </c>
      <c r="GX6" s="1">
        <v>4.2185607984818498E-2</v>
      </c>
      <c r="GY6" s="1">
        <v>-2.8834001682997736E-2</v>
      </c>
      <c r="GZ6" s="1">
        <v>1.5779952043815635E-2</v>
      </c>
      <c r="HA6" s="1">
        <v>-1.8184073383084597E-2</v>
      </c>
      <c r="HB6" s="1">
        <v>-2.2625332396150492E-2</v>
      </c>
      <c r="HC6" s="1">
        <v>-1.9610644711462052E-2</v>
      </c>
      <c r="HD6" s="1">
        <v>6.560107089726723E-2</v>
      </c>
      <c r="HE6" s="1">
        <v>-2.593053403890063E-3</v>
      </c>
      <c r="HF6" s="1">
        <v>-3.8946659695110415E-2</v>
      </c>
      <c r="HG6" s="1">
        <v>1.1946573535416982E-2</v>
      </c>
      <c r="HH6" s="1">
        <v>-2.2216892714805939E-2</v>
      </c>
      <c r="HI6" s="1">
        <v>-1.3185548657737975E-2</v>
      </c>
      <c r="HJ6" s="1">
        <v>5.0146416638348588E-2</v>
      </c>
      <c r="HK6" s="1">
        <v>-4.6981864081283034E-2</v>
      </c>
      <c r="HL6" s="1">
        <v>-6.7947086092715004E-3</v>
      </c>
      <c r="HM6" s="1">
        <v>4.014042460786774E-3</v>
      </c>
      <c r="HN6" s="1">
        <v>4.0059468706437541E-2</v>
      </c>
      <c r="HO6">
        <v>1.1595853666618281E-2</v>
      </c>
      <c r="HP6">
        <v>1.1727993307377652E-2</v>
      </c>
      <c r="HQ6">
        <v>1.2502988904032432E-2</v>
      </c>
      <c r="HR6">
        <v>-8.207698824857123E-3</v>
      </c>
      <c r="HS6">
        <v>-3.4668786493812108E-3</v>
      </c>
      <c r="HT6">
        <v>-2.1945797200573114E-3</v>
      </c>
      <c r="HU6">
        <v>-3.4115382006630183E-3</v>
      </c>
      <c r="HV6">
        <v>-2.2946981441108728E-2</v>
      </c>
      <c r="HW6">
        <v>-4.3019056858997075E-2</v>
      </c>
      <c r="HX6">
        <v>2.3401789528652669E-2</v>
      </c>
      <c r="HY6">
        <v>-4.710925180252945E-2</v>
      </c>
      <c r="HZ6">
        <v>2.7366228619478566E-3</v>
      </c>
      <c r="IA6">
        <v>1.7842463220344603E-2</v>
      </c>
      <c r="IB6">
        <v>-1.629002287471926E-2</v>
      </c>
      <c r="IC6">
        <v>1.9792367498808031E-2</v>
      </c>
      <c r="ID6">
        <v>-3.935375049862503E-2</v>
      </c>
      <c r="IE6">
        <v>-2.2943631361761321E-2</v>
      </c>
      <c r="IF6">
        <v>1.0932736503635833E-2</v>
      </c>
    </row>
    <row r="7" spans="1:240">
      <c r="A7" t="s">
        <v>24</v>
      </c>
      <c r="B7" s="1">
        <v>9.0880603329910128E-4</v>
      </c>
      <c r="C7" s="1">
        <v>7.2164209043667441E-3</v>
      </c>
      <c r="D7" s="1">
        <v>-4.6652172376611761E-2</v>
      </c>
      <c r="E7" s="1">
        <v>1.8835151852878009E-2</v>
      </c>
      <c r="F7" s="1">
        <v>-1.3943431191036117E-2</v>
      </c>
      <c r="G7" s="1">
        <v>3.5958958026543426E-2</v>
      </c>
      <c r="H7" s="1">
        <v>1.3760742995811072E-2</v>
      </c>
      <c r="I7" s="1">
        <v>7.2824986641859282E-2</v>
      </c>
      <c r="J7" s="1">
        <v>-2.5499302039661532E-3</v>
      </c>
      <c r="K7" s="1">
        <v>1.7140476622096317E-2</v>
      </c>
      <c r="L7" s="1">
        <v>-2.0633837311107633E-3</v>
      </c>
      <c r="M7" s="1">
        <v>-4.3799660892678317E-3</v>
      </c>
      <c r="N7" s="1">
        <v>5.3436161741971244E-3</v>
      </c>
      <c r="O7" s="1">
        <v>1.0879663460753317E-3</v>
      </c>
      <c r="P7" s="1">
        <v>3.0065967684021607E-3</v>
      </c>
      <c r="Q7" s="1">
        <v>7.4795691627769232E-3</v>
      </c>
      <c r="R7" s="1">
        <v>3.7523883943084814E-3</v>
      </c>
      <c r="S7" s="1">
        <v>-6.0464157293754362E-3</v>
      </c>
      <c r="T7" s="1">
        <v>-8.0729028372449243E-3</v>
      </c>
      <c r="U7" s="1">
        <v>-1.654054127666375E-2</v>
      </c>
      <c r="V7" s="1">
        <v>1.4384765733720311E-2</v>
      </c>
      <c r="W7" s="1">
        <v>-3.2565399954238274E-2</v>
      </c>
      <c r="X7" s="1">
        <v>2.9564637738369827E-3</v>
      </c>
      <c r="Y7" s="1">
        <v>2.3616222876907726E-2</v>
      </c>
      <c r="Z7" s="1">
        <v>-2.5027938019992957E-3</v>
      </c>
      <c r="AA7" s="1">
        <v>-2.570620520136992E-2</v>
      </c>
      <c r="AB7" s="1">
        <v>1.1196135854615078E-2</v>
      </c>
      <c r="AC7" s="1">
        <v>3.1043355633506985E-2</v>
      </c>
      <c r="AD7" s="1">
        <v>-2.7042531322801724E-2</v>
      </c>
      <c r="AE7" s="1">
        <v>-2.0437785639086437E-3</v>
      </c>
      <c r="AF7" s="1">
        <v>3.1603190205525079E-2</v>
      </c>
      <c r="AG7" s="1">
        <v>-2.4060497806107271E-2</v>
      </c>
      <c r="AH7" s="1">
        <v>2.1658248780488244E-3</v>
      </c>
      <c r="AI7" s="1">
        <v>1.4334783612932075E-2</v>
      </c>
      <c r="AJ7" s="1">
        <v>-8.0134848084319698E-4</v>
      </c>
      <c r="AK7" s="1">
        <v>-2.9238027608947559E-2</v>
      </c>
      <c r="AL7" s="1">
        <v>2.7803314111091086E-3</v>
      </c>
      <c r="AM7" s="1">
        <v>1.8401843508343816E-3</v>
      </c>
      <c r="AN7" s="1">
        <v>5.2396059020021254E-3</v>
      </c>
      <c r="AO7" s="1">
        <v>-4.310879274629145E-3</v>
      </c>
      <c r="AP7" s="1">
        <v>-3.4473291415264017E-5</v>
      </c>
      <c r="AQ7" s="1">
        <v>-3.8032636058408201E-3</v>
      </c>
      <c r="AR7" s="1">
        <v>1.0401416094011661E-2</v>
      </c>
      <c r="AS7" s="1">
        <v>3.3235668716637444E-4</v>
      </c>
      <c r="AT7" s="1">
        <v>7.8427972203067055E-3</v>
      </c>
      <c r="AU7" s="1">
        <v>3.2610596914351447E-2</v>
      </c>
      <c r="AV7" s="1">
        <v>3.7318399044862088E-2</v>
      </c>
      <c r="AW7" s="1">
        <v>1.3475108798986521E-2</v>
      </c>
      <c r="AX7" s="1">
        <v>5.0914471232399866E-3</v>
      </c>
      <c r="AY7" s="1">
        <v>8.9938325615907394E-3</v>
      </c>
      <c r="AZ7" s="1">
        <v>-1.1472299319072983E-2</v>
      </c>
      <c r="BA7" s="1">
        <v>4.3703675850108549E-3</v>
      </c>
      <c r="BB7" s="1">
        <v>-5.5535192388493941E-3</v>
      </c>
      <c r="BC7" s="1">
        <v>1.9331770544399968E-2</v>
      </c>
      <c r="BD7" s="1">
        <v>-1.0939722131057871E-3</v>
      </c>
      <c r="BE7" s="1">
        <v>3.0708618990252833E-3</v>
      </c>
      <c r="BF7" s="1">
        <v>-4.6948151566329433E-3</v>
      </c>
      <c r="BG7" s="1">
        <v>-2.8956081680399316E-4</v>
      </c>
      <c r="BH7" s="1">
        <v>-1.1337185633882313E-2</v>
      </c>
      <c r="BI7" s="1">
        <v>2.1047498614462961E-2</v>
      </c>
      <c r="BJ7" s="1">
        <v>4.3479585446779606E-3</v>
      </c>
      <c r="BK7" s="1">
        <v>-8.2036912624412622E-3</v>
      </c>
      <c r="BL7" s="1">
        <v>2.9707836643775434E-2</v>
      </c>
      <c r="BM7" s="1">
        <v>1.4293937551943343E-2</v>
      </c>
      <c r="BN7" s="1">
        <v>-1.6407834398736866E-2</v>
      </c>
      <c r="BO7" s="1">
        <v>-1.9830007223284488E-2</v>
      </c>
      <c r="BP7" s="1">
        <v>3.4419275505909084E-3</v>
      </c>
      <c r="BQ7" s="1">
        <v>9.7547824643071709E-3</v>
      </c>
      <c r="BR7" s="1">
        <v>6.2377621617213629E-3</v>
      </c>
      <c r="BS7" s="1">
        <v>-2.5587468053873984E-2</v>
      </c>
      <c r="BT7" s="1">
        <v>-9.4643573688229909E-3</v>
      </c>
      <c r="BU7" s="1">
        <v>-3.0752516314811702E-2</v>
      </c>
      <c r="BV7" s="1">
        <v>3.5509548005908449E-2</v>
      </c>
      <c r="BW7" s="1">
        <v>4.626111334042172E-3</v>
      </c>
      <c r="BX7" s="1">
        <v>-1.155564716169221E-2</v>
      </c>
      <c r="BY7" s="1">
        <v>3.9912260121661583E-3</v>
      </c>
      <c r="BZ7" s="1">
        <v>1.5606405899185584E-2</v>
      </c>
      <c r="CA7" s="1">
        <v>-5.5571504680640522E-3</v>
      </c>
      <c r="CB7" s="1">
        <v>2.9963531929634812E-2</v>
      </c>
      <c r="CC7" s="1">
        <v>7.3808297267487829E-3</v>
      </c>
      <c r="CD7" s="1">
        <v>-7.4066514710300199E-3</v>
      </c>
      <c r="CE7" s="1">
        <v>-2.467466676734832E-3</v>
      </c>
      <c r="CF7" s="1">
        <v>1.0323029886646665E-2</v>
      </c>
      <c r="CG7" s="1">
        <v>-4.4473094442323245E-3</v>
      </c>
      <c r="CH7" s="1">
        <v>-9.706448245302866E-3</v>
      </c>
      <c r="CI7" s="1">
        <v>1.9590381785477069E-2</v>
      </c>
      <c r="CJ7" s="1">
        <v>3.6472636070747993E-3</v>
      </c>
      <c r="CK7" s="1">
        <v>-1.6068384137138461E-3</v>
      </c>
      <c r="CL7" s="1">
        <v>3.9609080209192533E-3</v>
      </c>
      <c r="CM7" s="1">
        <v>1.1291785786280113E-2</v>
      </c>
      <c r="CN7" s="1">
        <v>-2.0245047438399852E-3</v>
      </c>
      <c r="CO7" s="1">
        <v>7.6989389257048919E-3</v>
      </c>
      <c r="CP7" s="1">
        <v>-8.3792461696729197E-3</v>
      </c>
      <c r="CQ7" s="1">
        <v>-5.3286097250281935E-3</v>
      </c>
      <c r="CR7" s="1">
        <v>8.0399786350199062E-3</v>
      </c>
      <c r="CS7" s="1">
        <v>-1.3409399446828871E-2</v>
      </c>
      <c r="CT7" s="1">
        <v>1.4166075301519509E-2</v>
      </c>
      <c r="CU7" s="1">
        <v>4.2524810672139443E-3</v>
      </c>
      <c r="CV7" s="1">
        <v>1.3855468798650021E-3</v>
      </c>
      <c r="CW7" s="1">
        <v>6.9355918367364214E-5</v>
      </c>
      <c r="CX7" s="1">
        <v>2.2449422591513818E-4</v>
      </c>
      <c r="CY7" s="1">
        <v>-2.1503966435828794E-3</v>
      </c>
      <c r="CZ7" s="1">
        <v>-1.4966211017745244E-3</v>
      </c>
      <c r="DA7" s="1">
        <v>2.9076431169764677E-3</v>
      </c>
      <c r="DB7" s="1">
        <v>2.2973678465828876E-2</v>
      </c>
      <c r="DC7" s="1">
        <v>7.4447229625302612E-3</v>
      </c>
      <c r="DD7" s="1">
        <v>2.2505471470494151E-3</v>
      </c>
      <c r="DE7" s="1">
        <v>-1.1306710164197466E-2</v>
      </c>
      <c r="DF7" s="1">
        <v>3.7947580227706093E-3</v>
      </c>
      <c r="DG7" s="1">
        <v>1.1607807471363406E-2</v>
      </c>
      <c r="DH7" s="1">
        <v>2.8824725916319549E-3</v>
      </c>
      <c r="DI7" s="1">
        <v>7.0322367223118985E-3</v>
      </c>
      <c r="DJ7" s="1">
        <v>-9.8801781462455086E-3</v>
      </c>
      <c r="DK7" s="1">
        <v>-1.8839034750817361E-2</v>
      </c>
      <c r="DL7" s="1">
        <v>1.3096165144458266E-2</v>
      </c>
      <c r="DM7" s="1">
        <v>1.0613321353062146E-2</v>
      </c>
      <c r="DN7" s="1">
        <v>6.8404895909845356E-3</v>
      </c>
      <c r="DO7" s="1">
        <v>3.5768979272275486E-2</v>
      </c>
      <c r="DP7" s="1">
        <v>7.6682711063619999E-3</v>
      </c>
      <c r="DQ7" s="1">
        <v>-1.5928657358340832E-2</v>
      </c>
      <c r="DR7" s="1">
        <v>3.1796771417740739E-2</v>
      </c>
      <c r="DS7" s="1">
        <v>-2.3255375961056392E-3</v>
      </c>
      <c r="DT7" s="1">
        <v>-7.7406122592881483E-3</v>
      </c>
      <c r="DU7" s="1">
        <v>9.5009481150596232E-4</v>
      </c>
      <c r="DV7" s="1">
        <v>5.7506458790559933E-3</v>
      </c>
      <c r="DW7" s="1">
        <v>-3.7197108440124829E-3</v>
      </c>
      <c r="DX7" s="1">
        <v>8.3330011421493492E-3</v>
      </c>
      <c r="DY7" s="1">
        <v>-3.7650994267263839E-3</v>
      </c>
      <c r="DZ7" s="1">
        <v>8.6526629611152241E-3</v>
      </c>
      <c r="EA7" s="1">
        <v>-7.7425700709843716E-4</v>
      </c>
      <c r="EB7" s="1">
        <v>-3.8593841736731956E-3</v>
      </c>
      <c r="EC7" s="1">
        <v>6.7140955232650136E-3</v>
      </c>
      <c r="ED7" s="1">
        <v>3.8887146868593009E-3</v>
      </c>
      <c r="EE7" s="1">
        <v>4.2256963180704746E-3</v>
      </c>
      <c r="EF7" s="1">
        <v>-1.1915292045377307E-2</v>
      </c>
      <c r="EG7" s="1">
        <v>-8.8722867001480785E-3</v>
      </c>
      <c r="EH7" s="1">
        <v>1.7054825189220559E-3</v>
      </c>
      <c r="EI7" s="1">
        <v>1.2894305990697984E-2</v>
      </c>
      <c r="EJ7" s="1">
        <v>1.9006104339848014E-2</v>
      </c>
      <c r="EK7" s="1">
        <v>8.7116680842785899E-3</v>
      </c>
      <c r="EL7" s="1">
        <v>5.7871741825420838E-3</v>
      </c>
      <c r="EM7" s="1">
        <v>-4.493985265052962E-3</v>
      </c>
      <c r="EN7" s="1">
        <v>1.8124235254637168E-2</v>
      </c>
      <c r="EO7" s="1">
        <v>4.0727968258943504E-3</v>
      </c>
      <c r="EP7" s="1">
        <v>7.3998359378420902E-4</v>
      </c>
      <c r="EQ7" s="1">
        <v>3.5799195478207683E-3</v>
      </c>
      <c r="ER7" s="1">
        <v>-1.3280286269875801E-2</v>
      </c>
      <c r="ES7" s="1">
        <v>3.1580146948362695E-3</v>
      </c>
      <c r="ET7" s="1">
        <v>3.7637767813345313E-3</v>
      </c>
      <c r="EU7" s="1">
        <v>-4.0858045830236547E-3</v>
      </c>
      <c r="EV7" s="1">
        <v>-1.0439066917950132E-3</v>
      </c>
      <c r="EW7" s="1">
        <v>-1.8566140244774151E-2</v>
      </c>
      <c r="EX7" s="1">
        <v>1.0338837627851242E-2</v>
      </c>
      <c r="EY7" s="1">
        <v>1.4894669685306171E-3</v>
      </c>
      <c r="EZ7" s="1">
        <v>1.3224009490008001E-2</v>
      </c>
      <c r="FA7" s="1">
        <v>-5.674095839381648E-3</v>
      </c>
      <c r="FB7" s="1">
        <v>-1.9566865802791059E-2</v>
      </c>
      <c r="FC7" s="1">
        <v>-1.477631640624999E-2</v>
      </c>
      <c r="FD7" s="1">
        <v>2.2599631781458655E-3</v>
      </c>
      <c r="FE7" s="1">
        <v>8.9942714289038758E-3</v>
      </c>
      <c r="FF7" s="1">
        <v>6.647305819461948E-3</v>
      </c>
      <c r="FG7" s="1">
        <v>7.074262307015535E-3</v>
      </c>
      <c r="FH7" s="1">
        <v>-8.0371647175680426E-3</v>
      </c>
      <c r="FI7" s="1">
        <v>-3.7158275629585763E-2</v>
      </c>
      <c r="FJ7" s="1">
        <v>-1.0870216054891675E-2</v>
      </c>
      <c r="FK7" s="1">
        <v>-5.0426850275941742E-3</v>
      </c>
      <c r="FL7" s="1">
        <v>2.1447412613727141E-2</v>
      </c>
      <c r="FM7" s="1">
        <v>-2.1117949561815428E-2</v>
      </c>
      <c r="FN7" s="1">
        <v>1.7683000850406062E-2</v>
      </c>
      <c r="FO7" s="1">
        <v>1.133635063265683E-2</v>
      </c>
      <c r="FP7" s="1">
        <v>1.206700483724669E-2</v>
      </c>
      <c r="FQ7" s="1">
        <v>4.0258434189262065E-3</v>
      </c>
      <c r="FR7" s="1">
        <v>-6.234527988649252E-3</v>
      </c>
      <c r="FS7" s="1">
        <v>-1.7744809193242034E-2</v>
      </c>
      <c r="FT7" s="1">
        <v>8.3034368760740995E-3</v>
      </c>
      <c r="FU7" s="1">
        <v>2.5940940593856952E-2</v>
      </c>
      <c r="FV7" s="1">
        <v>1.537391505994364E-3</v>
      </c>
      <c r="FW7" s="1">
        <v>9.9739512947722084E-3</v>
      </c>
      <c r="FX7" s="1">
        <v>3.2147567588597247E-3</v>
      </c>
      <c r="FY7" s="1">
        <v>-1.0248785963992485E-2</v>
      </c>
      <c r="FZ7" s="1">
        <v>8.2531727548407782E-4</v>
      </c>
      <c r="GA7" s="1">
        <v>-3.044341720918876E-2</v>
      </c>
      <c r="GB7" s="1">
        <v>-8.6872055778102386E-4</v>
      </c>
      <c r="GC7" s="1">
        <v>1.3543395563038949E-2</v>
      </c>
      <c r="GD7" s="1">
        <v>4.9595028253269557E-2</v>
      </c>
      <c r="GE7" s="1">
        <v>-2.5202584345288678E-3</v>
      </c>
      <c r="GF7" s="1">
        <v>1.5063504823917226E-2</v>
      </c>
      <c r="GG7" s="1">
        <v>-1.7653304167947009E-2</v>
      </c>
      <c r="GH7" s="1">
        <v>8.0140476803247495E-3</v>
      </c>
      <c r="GI7" s="1">
        <v>1.5375407099565081E-2</v>
      </c>
      <c r="GJ7" s="1">
        <v>1.2025629326780974E-3</v>
      </c>
      <c r="GK7" s="1">
        <v>-7.5487647257263687E-4</v>
      </c>
      <c r="GL7" s="1">
        <v>-2.0313123494852738E-2</v>
      </c>
      <c r="GM7" s="1">
        <v>-8.7051133126224032E-4</v>
      </c>
      <c r="GN7" s="1">
        <v>1.9973718049774793E-2</v>
      </c>
      <c r="GO7" s="1">
        <v>-1.5200701887016876E-3</v>
      </c>
      <c r="GP7" s="1">
        <v>-3.8800483821969933E-3</v>
      </c>
      <c r="GQ7" s="1">
        <v>1.1563475401259189E-3</v>
      </c>
      <c r="GR7" s="1">
        <v>1.2100913802357952E-2</v>
      </c>
      <c r="GS7" s="1">
        <v>-6.086550145079174E-3</v>
      </c>
      <c r="GT7" s="1">
        <v>-1.762278355059016E-2</v>
      </c>
      <c r="GU7" s="1">
        <v>-3.554341656771823E-3</v>
      </c>
      <c r="GV7" s="1">
        <v>2.3185335803059277E-3</v>
      </c>
      <c r="GW7" s="1">
        <v>-2.6943605475114072E-2</v>
      </c>
      <c r="GX7" s="1">
        <v>2.3543671561242551E-2</v>
      </c>
      <c r="GY7" s="1">
        <v>-2.4963891874508603E-2</v>
      </c>
      <c r="GZ7" s="1">
        <v>-5.9620226896665391E-3</v>
      </c>
      <c r="HA7" s="1">
        <v>1.3573070334729138E-2</v>
      </c>
      <c r="HB7" s="1">
        <v>-6.7463727533982314E-3</v>
      </c>
      <c r="HC7" s="1">
        <v>8.1231778412297478E-3</v>
      </c>
      <c r="HD7" s="1">
        <v>2.8741501234093473E-2</v>
      </c>
      <c r="HE7" s="1">
        <v>6.2267094226088728E-3</v>
      </c>
      <c r="HF7" s="1">
        <v>-3.6980291976532009E-3</v>
      </c>
      <c r="HG7" s="1">
        <v>2.4587112950977745E-3</v>
      </c>
      <c r="HH7" s="1">
        <v>-1.469579685807978E-2</v>
      </c>
      <c r="HI7" s="1">
        <v>-1.3162948990161068E-2</v>
      </c>
      <c r="HJ7" s="1">
        <v>1.7608655897255222E-2</v>
      </c>
      <c r="HK7" s="1">
        <v>-1.3630118980733467E-2</v>
      </c>
      <c r="HL7" s="1">
        <v>-1.8830663520857466E-2</v>
      </c>
      <c r="HM7">
        <v>-8.326360910213339E-4</v>
      </c>
      <c r="HN7">
        <v>1.3173804758803285E-2</v>
      </c>
      <c r="HO7">
        <v>2.0509191310164061E-2</v>
      </c>
      <c r="HP7">
        <v>3.4252053519669948E-3</v>
      </c>
      <c r="HQ7">
        <v>6.738454998043316E-3</v>
      </c>
      <c r="HR7">
        <v>-8.2450379005214319E-3</v>
      </c>
      <c r="HS7">
        <v>-2.181147621061488E-4</v>
      </c>
      <c r="HT7">
        <v>-3.0991400553285597E-3</v>
      </c>
      <c r="HU7">
        <v>-8.2694422786876876E-3</v>
      </c>
      <c r="HV7">
        <v>-4.0830282056271315E-3</v>
      </c>
      <c r="HW7">
        <v>-4.5876194328499049E-2</v>
      </c>
      <c r="HX7">
        <v>-1.9961858101975849E-4</v>
      </c>
      <c r="HY7">
        <v>6.6933854799455022E-3</v>
      </c>
      <c r="HZ7">
        <v>7.6909770435944821E-3</v>
      </c>
      <c r="IA7">
        <v>1.2126487215774072E-2</v>
      </c>
      <c r="IB7">
        <v>-2.0105321995160338E-2</v>
      </c>
      <c r="IC7">
        <v>6.4472558986313636E-3</v>
      </c>
      <c r="ID7">
        <v>-2.4967699186788168E-2</v>
      </c>
      <c r="IE7">
        <v>-6.4816700439657921E-3</v>
      </c>
      <c r="IF7">
        <v>-1.3388511009275695E-2</v>
      </c>
    </row>
    <row r="8" spans="1:240">
      <c r="A8" t="s">
        <v>2</v>
      </c>
      <c r="B8" s="1">
        <v>-7.9950160938635235E-3</v>
      </c>
      <c r="C8" s="1">
        <v>6.3324262089176232E-3</v>
      </c>
      <c r="D8" s="1">
        <v>-2.6834468771126926E-2</v>
      </c>
      <c r="E8" s="1">
        <v>-1.0687757174156396E-3</v>
      </c>
      <c r="F8" s="1">
        <v>-3.1616112983469731E-2</v>
      </c>
      <c r="G8" s="1">
        <v>2.9554745332007481E-2</v>
      </c>
      <c r="H8" s="1">
        <v>-1.0141117132585796E-2</v>
      </c>
      <c r="I8" s="1">
        <v>2.2170424978317452E-2</v>
      </c>
      <c r="J8" s="1">
        <v>-7.6894521928195826E-3</v>
      </c>
      <c r="K8" s="1">
        <v>7.3749465583582479E-3</v>
      </c>
      <c r="L8" s="1">
        <v>3.5490716180371341E-2</v>
      </c>
      <c r="M8" s="1">
        <v>5.2256775449562492E-3</v>
      </c>
      <c r="N8" s="1">
        <v>1.2996279496457789E-2</v>
      </c>
      <c r="O8" s="1">
        <v>2.0074461662306347E-2</v>
      </c>
      <c r="P8" s="1">
        <v>2.3674475955609855E-3</v>
      </c>
      <c r="Q8" s="1">
        <v>4.4284800472371485E-3</v>
      </c>
      <c r="R8" s="1">
        <v>-1.0336550237593618E-2</v>
      </c>
      <c r="S8" s="1">
        <v>-3.8808038808038826E-2</v>
      </c>
      <c r="T8" s="1">
        <v>1.1175198269646655E-2</v>
      </c>
      <c r="U8" s="1">
        <v>-3.0048382989559634E-3</v>
      </c>
      <c r="V8" s="1">
        <v>-2.0433183489983677E-4</v>
      </c>
      <c r="W8" s="1">
        <v>-2.8561209891682014E-2</v>
      </c>
      <c r="X8" s="1">
        <v>-2.6192605059695943E-2</v>
      </c>
      <c r="Y8" s="1">
        <v>2.3332433162300801E-2</v>
      </c>
      <c r="Z8" s="1">
        <v>1.4830843933076489E-2</v>
      </c>
      <c r="AA8" s="1">
        <v>-1.3729977116704883E-2</v>
      </c>
      <c r="AB8" s="1">
        <v>-4.2817970892216707E-2</v>
      </c>
      <c r="AC8" s="1">
        <v>6.059938298809234E-4</v>
      </c>
      <c r="AD8" s="1">
        <v>2.9400429444475053E-2</v>
      </c>
      <c r="AE8" s="1">
        <v>1.2568861314649378E-2</v>
      </c>
      <c r="AF8" s="1">
        <v>1.9966194802450883E-2</v>
      </c>
      <c r="AG8" s="1">
        <v>9.3733816675297902E-3</v>
      </c>
      <c r="AH8" s="1">
        <v>-1.7957005797547294E-3</v>
      </c>
      <c r="AI8" s="1">
        <v>-1.1307565789473626E-3</v>
      </c>
      <c r="AJ8" s="1">
        <v>1.0085417309869341E-2</v>
      </c>
      <c r="AK8" s="1">
        <v>-3.1074885379521835E-3</v>
      </c>
      <c r="AL8" s="1">
        <v>-2.0440492615867977E-4</v>
      </c>
      <c r="AM8" s="1">
        <v>4.7022744697162661E-3</v>
      </c>
      <c r="AN8" s="1">
        <v>-2.4825761815129448E-2</v>
      </c>
      <c r="AO8" s="1">
        <v>-2.1440868068235093E-2</v>
      </c>
      <c r="AP8" s="1">
        <v>-2.1324234993069925E-3</v>
      </c>
      <c r="AQ8" s="1">
        <v>2.7887594828507313E-2</v>
      </c>
      <c r="AR8" s="1">
        <v>-1.7359667359667378E-2</v>
      </c>
      <c r="AS8" s="1">
        <v>-4.0727811276843875E-3</v>
      </c>
      <c r="AT8" s="1">
        <v>3.1493972064368832E-2</v>
      </c>
      <c r="AU8" s="1">
        <v>2.6464833693749433E-2</v>
      </c>
      <c r="AV8" s="1">
        <v>-5.5176565008032525E-4</v>
      </c>
      <c r="AW8" s="1">
        <v>-2.1279799247176958E-2</v>
      </c>
      <c r="AX8" s="1">
        <v>9.1790164606944287E-3</v>
      </c>
      <c r="AY8" s="1">
        <v>2.0325203252028476E-4</v>
      </c>
      <c r="AZ8" s="1">
        <v>-2.5909368014631142E-2</v>
      </c>
      <c r="BA8" s="1">
        <v>1.4185876708042134E-2</v>
      </c>
      <c r="BB8" s="1">
        <v>7.6622441633239771E-3</v>
      </c>
      <c r="BC8" s="1">
        <v>2.3475376371523754E-3</v>
      </c>
      <c r="BD8" s="1">
        <v>1.2270251005549598E-2</v>
      </c>
      <c r="BE8" s="1">
        <v>-1.5189618750628619E-2</v>
      </c>
      <c r="BF8" s="1">
        <v>-1.3483146067415805E-2</v>
      </c>
      <c r="BG8" s="1">
        <v>1.2476703251190706E-2</v>
      </c>
      <c r="BH8" s="1">
        <v>-1.1146903921869443E-2</v>
      </c>
      <c r="BI8" s="1">
        <v>1.6805419101297896E-2</v>
      </c>
      <c r="BJ8" s="1">
        <v>1.1442229454841335E-2</v>
      </c>
      <c r="BK8" s="1">
        <v>1.070943737744494E-2</v>
      </c>
      <c r="BL8" s="1">
        <v>1.1590886478957238E-2</v>
      </c>
      <c r="BM8" s="1">
        <v>-1.0179493484140611E-2</v>
      </c>
      <c r="BN8" s="1">
        <v>4.8688394276629066E-3</v>
      </c>
      <c r="BO8" s="1">
        <v>-1.0679323642835937E-2</v>
      </c>
      <c r="BP8" s="1">
        <v>1.8940529735132394E-2</v>
      </c>
      <c r="BQ8" s="1">
        <v>-2.2757369169650238E-2</v>
      </c>
      <c r="BR8" s="1">
        <v>7.2271016311166759E-3</v>
      </c>
      <c r="BS8" s="1">
        <v>-1.6991379739897339E-2</v>
      </c>
      <c r="BT8" s="1">
        <v>-1.262165450121659E-2</v>
      </c>
      <c r="BU8" s="1">
        <v>-2.8543559730992363E-2</v>
      </c>
      <c r="BV8" s="1">
        <v>7.0813295989008273E-3</v>
      </c>
      <c r="BW8" s="1">
        <v>1.5374927848034878E-2</v>
      </c>
      <c r="BX8" s="1">
        <v>1.018087855297157E-2</v>
      </c>
      <c r="BY8" s="1">
        <v>-2.7523405126106286E-2</v>
      </c>
      <c r="BZ8" s="1">
        <v>1.2941238360776515E-2</v>
      </c>
      <c r="CA8" s="1">
        <v>3.1160737470787989E-4</v>
      </c>
      <c r="CB8" s="1">
        <v>-1.246041223197137E-2</v>
      </c>
      <c r="CC8" s="1">
        <v>1.0514694285263058E-3</v>
      </c>
      <c r="CD8" s="1">
        <v>2.8674964550181231E-2</v>
      </c>
      <c r="CE8" s="1">
        <v>-1.7868994741409828E-3</v>
      </c>
      <c r="CF8" s="1">
        <v>1.1200900163666108E-2</v>
      </c>
      <c r="CG8" s="1">
        <v>4.9567548429517464E-3</v>
      </c>
      <c r="CH8" s="1">
        <v>-9.5123056016910082E-3</v>
      </c>
      <c r="CI8" s="1">
        <v>8.0284552845527636E-3</v>
      </c>
      <c r="CJ8" s="1">
        <v>-2.5708236717410572E-3</v>
      </c>
      <c r="CK8" s="1">
        <v>-1.1320564006671092E-2</v>
      </c>
      <c r="CL8" s="1">
        <v>-3.680417113939574E-3</v>
      </c>
      <c r="CM8" s="1">
        <v>-1.4365604638038128E-3</v>
      </c>
      <c r="CN8" s="1">
        <v>9.4538354827108026E-3</v>
      </c>
      <c r="CO8" s="1">
        <v>-6.616786277802996E-4</v>
      </c>
      <c r="CP8" s="1">
        <v>-8.9640419680146223E-3</v>
      </c>
      <c r="CQ8" s="1">
        <v>-4.0086339808819054E-3</v>
      </c>
      <c r="CR8" s="1">
        <v>-9.8039215686274803E-3</v>
      </c>
      <c r="CS8" s="1">
        <v>4.689942678478552E-4</v>
      </c>
      <c r="CT8" s="1">
        <v>-1.8803062659513585E-2</v>
      </c>
      <c r="CU8" s="1">
        <v>1.0935343454719196E-2</v>
      </c>
      <c r="CV8" s="1">
        <v>2.6044948540222684E-2</v>
      </c>
      <c r="CW8" s="1">
        <v>-1.3050153531218071E-2</v>
      </c>
      <c r="CX8" s="1">
        <v>2.1778584392015345E-3</v>
      </c>
      <c r="CY8" s="1">
        <v>-3.1044652558597955E-4</v>
      </c>
      <c r="CZ8" s="1">
        <v>1.8736090264479088E-2</v>
      </c>
      <c r="DA8" s="1">
        <v>4.3692526545749382E-3</v>
      </c>
      <c r="DB8" s="1">
        <v>-1.2646062016288128E-3</v>
      </c>
      <c r="DC8" s="1">
        <v>-1.6156807131280378E-2</v>
      </c>
      <c r="DD8" s="1">
        <v>-2.0592020592016496E-4</v>
      </c>
      <c r="DE8" s="1">
        <v>-6.5908037691159108E-3</v>
      </c>
      <c r="DF8" s="1">
        <v>1.736381070854711E-2</v>
      </c>
      <c r="DG8" s="1">
        <v>2.8632565722437359E-2</v>
      </c>
      <c r="DH8" s="1">
        <v>-3.4670629024270284E-3</v>
      </c>
      <c r="DI8" s="1">
        <v>-6.0139165009939341E-3</v>
      </c>
      <c r="DJ8" s="1">
        <v>-2.4501225061253091E-2</v>
      </c>
      <c r="DK8" s="1">
        <v>-3.9212671074888544E-2</v>
      </c>
      <c r="DL8" s="1">
        <v>2.8649167733674801E-2</v>
      </c>
      <c r="DM8" s="1">
        <v>3.3400757222135771E-2</v>
      </c>
      <c r="DN8" s="1">
        <v>5.7716436637390497E-3</v>
      </c>
      <c r="DO8" s="1">
        <v>-9.980039920160532E-4</v>
      </c>
      <c r="DP8" s="1">
        <v>3.296703296703422E-3</v>
      </c>
      <c r="DQ8" s="1">
        <v>-1.9316937170168393E-2</v>
      </c>
      <c r="DR8" s="1">
        <v>1.4925373134328348E-2</v>
      </c>
      <c r="DS8" s="1">
        <v>2.0308123249299731E-2</v>
      </c>
      <c r="DT8" s="1">
        <v>2.8924404353368148E-3</v>
      </c>
      <c r="DU8" s="1">
        <v>5.4748985677274507E-3</v>
      </c>
      <c r="DV8" s="1">
        <v>4.7158345082405507E-3</v>
      </c>
      <c r="DW8" s="1">
        <v>-1.7903803348495334E-3</v>
      </c>
      <c r="DX8" s="1">
        <v>1.1391730088710042E-2</v>
      </c>
      <c r="DY8" s="1">
        <v>1.188650306748475E-2</v>
      </c>
      <c r="DZ8" s="1">
        <v>7.9575596816976457E-3</v>
      </c>
      <c r="EA8" s="1">
        <v>2.5892857142857099E-2</v>
      </c>
      <c r="EB8" s="1">
        <v>9.619348632678666E-4</v>
      </c>
      <c r="EC8" s="1">
        <v>-8.6948563060588373E-4</v>
      </c>
      <c r="ED8" s="1">
        <v>-9.3894563275775719E-3</v>
      </c>
      <c r="EE8" s="1">
        <v>-2.8389125208063689E-2</v>
      </c>
      <c r="EF8" s="1">
        <v>-3.4643570952698072E-2</v>
      </c>
      <c r="EG8" s="1">
        <v>2.124617963127267E-2</v>
      </c>
      <c r="EH8" s="1">
        <v>-2.4569194381425762E-2</v>
      </c>
      <c r="EI8" s="1">
        <v>-5.7403008709423246E-3</v>
      </c>
      <c r="EJ8" s="1">
        <v>2.5383237109297348E-2</v>
      </c>
      <c r="EK8" s="1">
        <v>1.4950004853897601E-2</v>
      </c>
      <c r="EL8" s="1">
        <v>2.6781444285031196E-3</v>
      </c>
      <c r="EM8" s="1">
        <v>-1.6312124391872497E-2</v>
      </c>
      <c r="EN8" s="1">
        <v>4.2668735453839967E-3</v>
      </c>
      <c r="EO8" s="1">
        <v>9.4631131711085739E-3</v>
      </c>
      <c r="EP8" s="1">
        <v>2.9653721063706527E-3</v>
      </c>
      <c r="EQ8" s="1">
        <v>3.2236528373867521E-2</v>
      </c>
      <c r="ER8" s="1">
        <v>2.1574424835997353E-2</v>
      </c>
      <c r="ES8" s="1">
        <v>9.180120291231407E-3</v>
      </c>
      <c r="ET8" s="1">
        <v>-3.9433590249148389E-3</v>
      </c>
      <c r="EU8" s="1">
        <v>-2.0604642792873908E-2</v>
      </c>
      <c r="EV8" s="1">
        <v>5.9255856683510357E-3</v>
      </c>
      <c r="EW8" s="1">
        <v>1.3105621261244826E-2</v>
      </c>
      <c r="EX8" s="1">
        <v>8.6991796628503489E-3</v>
      </c>
      <c r="EY8" s="1">
        <v>5.0046918986550093E-3</v>
      </c>
      <c r="EZ8" s="1">
        <v>3.8948912898492692E-2</v>
      </c>
      <c r="FA8" s="1">
        <v>-1.3266572516797168E-2</v>
      </c>
      <c r="FB8" s="1">
        <v>-1.2057075942230131E-2</v>
      </c>
      <c r="FC8" s="1">
        <v>-5.8782211686202145E-2</v>
      </c>
      <c r="FD8" s="1">
        <v>2.0429104477611919E-2</v>
      </c>
      <c r="FE8" s="1">
        <v>1.2066916537160556E-2</v>
      </c>
      <c r="FF8" s="1">
        <v>1.2284346490831899E-2</v>
      </c>
      <c r="FG8" s="1">
        <v>-1.7578299277237433E-2</v>
      </c>
      <c r="FH8" s="1">
        <v>1.1534968210717624E-2</v>
      </c>
      <c r="FI8" s="1">
        <v>-6.5547274849600788E-3</v>
      </c>
      <c r="FJ8" s="1">
        <v>-2.5307302964569751E-2</v>
      </c>
      <c r="FK8" s="1">
        <v>1.5485905044510402E-2</v>
      </c>
      <c r="FL8" s="1">
        <v>4.2005296319970204E-3</v>
      </c>
      <c r="FM8" s="1">
        <v>-8.6841865963444426E-3</v>
      </c>
      <c r="FN8" s="1">
        <v>2.5684538824932452E-3</v>
      </c>
      <c r="FO8" s="1">
        <v>-6.496180063131963E-3</v>
      </c>
      <c r="FP8" s="1">
        <v>2.8779297324676524E-2</v>
      </c>
      <c r="FQ8" s="1">
        <v>-6.9823650523676214E-3</v>
      </c>
      <c r="FR8" s="1">
        <v>6.7610204633552686E-3</v>
      </c>
      <c r="FS8" s="1">
        <v>4.5173710601719083E-2</v>
      </c>
      <c r="FT8" s="1">
        <v>2.8785607196401795E-2</v>
      </c>
      <c r="FU8" s="1">
        <v>1.1283674064204555E-2</v>
      </c>
      <c r="FV8" s="1">
        <v>1.5398550724637718E-2</v>
      </c>
      <c r="FW8" s="1">
        <v>3.0411158867893924E-3</v>
      </c>
      <c r="FX8" s="1">
        <v>1.2814811820350032E-2</v>
      </c>
      <c r="FY8" s="1">
        <v>1.6085255847369688E-2</v>
      </c>
      <c r="FZ8" s="1">
        <v>-1.0959657461601886E-2</v>
      </c>
      <c r="GA8" s="1">
        <v>2.3830328064183921E-4</v>
      </c>
      <c r="GB8" s="1">
        <v>1.4294790343074945E-2</v>
      </c>
      <c r="GC8" s="1">
        <v>1.0061071093015945E-2</v>
      </c>
      <c r="GD8" s="1">
        <v>-1.5425758691523545E-2</v>
      </c>
      <c r="GE8" s="1">
        <v>6.416564972641009E-3</v>
      </c>
      <c r="GF8" s="1">
        <v>6.2974262692638084E-3</v>
      </c>
      <c r="GG8" s="1">
        <v>2.8841295137404348E-2</v>
      </c>
      <c r="GH8" s="1">
        <v>1.4016396539347839E-2</v>
      </c>
      <c r="GI8" s="1">
        <v>1.7697466467958271E-2</v>
      </c>
      <c r="GJ8" s="1">
        <v>5.5280981145892291E-3</v>
      </c>
      <c r="GK8" s="1">
        <v>7.5729993446442285E-3</v>
      </c>
      <c r="GL8" s="1">
        <v>-1.3911975139119834E-2</v>
      </c>
      <c r="GM8" s="1">
        <v>1.964161383707726E-2</v>
      </c>
      <c r="GN8" s="1">
        <v>1.5884995507637074E-2</v>
      </c>
      <c r="GO8" s="1">
        <v>-5.3065411964493619E-4</v>
      </c>
      <c r="GP8" s="1">
        <v>-1.1078861673509825E-2</v>
      </c>
      <c r="GQ8" s="1">
        <v>-2.4696660581982094E-3</v>
      </c>
      <c r="GR8" s="1">
        <v>-1.2055974165769694E-2</v>
      </c>
      <c r="GS8" s="1">
        <v>3.595554587056037E-3</v>
      </c>
      <c r="GT8" s="1">
        <v>-8.6128903846849625E-3</v>
      </c>
      <c r="GU8" s="1">
        <v>1.6061325059317311E-3</v>
      </c>
      <c r="GV8" s="1">
        <v>1.1698677065490859E-2</v>
      </c>
      <c r="GW8" s="1">
        <v>-3.375360230547552E-2</v>
      </c>
      <c r="GX8" s="1">
        <v>2.2368862543339668E-2</v>
      </c>
      <c r="GY8" s="1">
        <v>-2.3520402581774586E-2</v>
      </c>
      <c r="GZ8" s="1">
        <v>-1.8261259242661837E-2</v>
      </c>
      <c r="HA8" s="1">
        <v>-6.3144280877932531E-3</v>
      </c>
      <c r="HB8" s="1">
        <v>-1.879569727826063E-2</v>
      </c>
      <c r="HC8" s="1">
        <v>-2.5475967540574289E-2</v>
      </c>
      <c r="HD8" s="1">
        <v>3.9272989311021383E-2</v>
      </c>
      <c r="HE8" s="1">
        <v>5.6625577812017347E-3</v>
      </c>
      <c r="HF8" s="1">
        <v>-2.0454284291569324E-2</v>
      </c>
      <c r="HG8" s="1">
        <v>-3.9103742228095671E-5</v>
      </c>
      <c r="HH8" s="1">
        <v>-1.5798529641795685E-2</v>
      </c>
      <c r="HI8" s="1">
        <v>-2.3839796567069294E-2</v>
      </c>
      <c r="HJ8" s="1">
        <v>6.3497232171931062E-3</v>
      </c>
      <c r="HK8" s="1">
        <v>-1.1648600550072784E-2</v>
      </c>
      <c r="HL8" s="1">
        <v>0</v>
      </c>
      <c r="HM8">
        <v>-2.5781633655262773E-2</v>
      </c>
      <c r="HN8">
        <v>1.9028816264807197E-2</v>
      </c>
      <c r="HO8">
        <v>1.0594006348159418E-2</v>
      </c>
      <c r="HP8">
        <v>1.219611682166752E-2</v>
      </c>
      <c r="HQ8">
        <v>1.5273020350594366E-2</v>
      </c>
      <c r="HR8">
        <v>-9.9229975390966113E-4</v>
      </c>
      <c r="HS8">
        <v>-7.0324605665700278E-3</v>
      </c>
      <c r="HT8">
        <v>7.1622919334187766E-3</v>
      </c>
      <c r="HU8">
        <v>1.0408803782130247E-2</v>
      </c>
      <c r="HV8">
        <v>2.2215232178665535E-2</v>
      </c>
      <c r="HW8">
        <v>-2.0463112547119092E-2</v>
      </c>
      <c r="HX8">
        <v>-2.0183774444357129E-2</v>
      </c>
      <c r="HY8">
        <v>4.4084642513620239E-4</v>
      </c>
      <c r="HZ8">
        <v>1.0575651964908124E-2</v>
      </c>
      <c r="IA8">
        <v>1.474610536330122E-2</v>
      </c>
      <c r="IB8">
        <v>-1.7852259853900626E-2</v>
      </c>
      <c r="IC8">
        <v>2.3068968260282099E-3</v>
      </c>
      <c r="ID8">
        <v>-8.0952380952380634E-3</v>
      </c>
      <c r="IE8">
        <v>1.0241638662185958E-2</v>
      </c>
      <c r="IF8">
        <v>-3.4056708379534835E-3</v>
      </c>
    </row>
    <row r="9" spans="1:240">
      <c r="A9" t="s">
        <v>3</v>
      </c>
      <c r="B9" s="1">
        <v>-2.360569054513408E-3</v>
      </c>
      <c r="C9" s="1">
        <v>-7.6663406631542622E-3</v>
      </c>
      <c r="D9" s="1">
        <v>2.0887645450499117E-2</v>
      </c>
      <c r="E9" s="1">
        <v>-2.9242315717355381E-2</v>
      </c>
      <c r="F9" s="1">
        <v>-8.2124983959964131E-3</v>
      </c>
      <c r="G9" s="1">
        <v>-4.363436408332258E-2</v>
      </c>
      <c r="H9" s="1">
        <v>4.7519193695674269E-2</v>
      </c>
      <c r="I9" s="1">
        <v>7.4906367041198277E-3</v>
      </c>
      <c r="J9" s="1">
        <v>2.3426483784130245E-2</v>
      </c>
      <c r="K9" s="1">
        <v>-4.540472835447144E-3</v>
      </c>
      <c r="L9" s="1">
        <v>1.5728216420257944E-3</v>
      </c>
      <c r="M9" s="1">
        <v>2.6821608040201072E-2</v>
      </c>
      <c r="N9" s="1">
        <v>5.0773842295223134E-3</v>
      </c>
      <c r="O9" s="1">
        <v>-1.1655508216676935E-2</v>
      </c>
      <c r="P9" s="1">
        <v>-7.7901283985588963E-3</v>
      </c>
      <c r="Q9" s="1">
        <v>8.6271102284011074E-3</v>
      </c>
      <c r="R9" s="1">
        <v>3.3844071134084756E-3</v>
      </c>
      <c r="S9" s="1">
        <v>-2.0207285661719709E-2</v>
      </c>
      <c r="T9" s="1">
        <v>-4.9072074609582669E-2</v>
      </c>
      <c r="U9" s="1">
        <v>1.5303603751851167E-2</v>
      </c>
      <c r="V9" s="1">
        <v>-5.9481361426256152E-2</v>
      </c>
      <c r="W9" s="1">
        <v>2.7571945545421656E-4</v>
      </c>
      <c r="X9" s="1">
        <v>-2.5290287013747824E-2</v>
      </c>
      <c r="Y9" s="1">
        <v>-1.2796493336632631E-2</v>
      </c>
      <c r="Z9" s="1">
        <v>2.9111612418090006E-2</v>
      </c>
      <c r="AA9" s="1">
        <v>-5.5671537926234027E-3</v>
      </c>
      <c r="AB9" s="1">
        <v>-2.3827851644506653E-2</v>
      </c>
      <c r="AC9" s="1">
        <v>-6.623893329510025E-2</v>
      </c>
      <c r="AD9" s="1">
        <v>-4.9902115081954627E-2</v>
      </c>
      <c r="AE9" s="1">
        <v>5.3331178538240834E-2</v>
      </c>
      <c r="AF9" s="1">
        <v>1.5227647577768507E-2</v>
      </c>
      <c r="AG9" s="1">
        <v>3.6761372223061875E-2</v>
      </c>
      <c r="AH9" s="1">
        <v>1.3556357275609381E-2</v>
      </c>
      <c r="AI9" s="1">
        <v>1.5460396217596333E-3</v>
      </c>
      <c r="AJ9" s="1">
        <v>2.0821367030441702E-3</v>
      </c>
      <c r="AK9" s="1">
        <v>-1.2395213871175681E-2</v>
      </c>
      <c r="AL9" s="1">
        <v>-5.695008705745767E-3</v>
      </c>
      <c r="AM9" s="1">
        <v>-3.2833533982708917E-3</v>
      </c>
      <c r="AN9" s="1">
        <v>1.1163573807693759E-2</v>
      </c>
      <c r="AO9" s="1">
        <v>-2.9066821110547935E-2</v>
      </c>
      <c r="AP9" s="1">
        <v>-3.81761920739664E-2</v>
      </c>
      <c r="AQ9" s="1">
        <v>-3.8761192294283782E-4</v>
      </c>
      <c r="AR9" s="1">
        <v>2.3420838341928811E-2</v>
      </c>
      <c r="AS9" s="1">
        <v>-1.5420755503353135E-2</v>
      </c>
      <c r="AT9" s="1">
        <v>1.2160394058338983E-2</v>
      </c>
      <c r="AU9" s="1">
        <v>2.4750969508022171E-2</v>
      </c>
      <c r="AV9" s="1">
        <v>1.1612807479687057E-2</v>
      </c>
      <c r="AW9" s="1">
        <v>1.2286363969779087E-2</v>
      </c>
      <c r="AX9" s="1">
        <v>-9.9271765515742509E-3</v>
      </c>
      <c r="AY9" s="1">
        <v>-4.6108244593259084E-3</v>
      </c>
      <c r="AZ9" s="1">
        <v>-5.7718466232858836E-3</v>
      </c>
      <c r="BA9" s="1">
        <v>-2.1853276142582551E-2</v>
      </c>
      <c r="BB9" s="1">
        <v>-3.8180924658828526E-3</v>
      </c>
      <c r="BC9" s="1">
        <v>1.722829386763821E-2</v>
      </c>
      <c r="BD9" s="1">
        <v>-3.9916436618667207E-3</v>
      </c>
      <c r="BE9" s="1">
        <v>4.232368253492623E-3</v>
      </c>
      <c r="BF9" s="1">
        <v>4.1772340742951084E-3</v>
      </c>
      <c r="BG9" s="1">
        <v>-2.4699153171891374E-2</v>
      </c>
      <c r="BH9" s="1">
        <v>7.616436269469516E-3</v>
      </c>
      <c r="BI9" s="1">
        <v>6.6895952227976826E-3</v>
      </c>
      <c r="BJ9" s="1">
        <v>1.156329779246127E-2</v>
      </c>
      <c r="BK9" s="1">
        <v>2.635095011876493E-2</v>
      </c>
      <c r="BL9" s="1">
        <v>1.4934548347436159E-2</v>
      </c>
      <c r="BM9" s="1">
        <v>-1.1757580076246166E-2</v>
      </c>
      <c r="BN9" s="1">
        <v>-2.0910696903053108E-3</v>
      </c>
      <c r="BO9" s="1">
        <v>-3.1178872069077622E-2</v>
      </c>
      <c r="BP9" s="1">
        <v>-3.1175417661097899E-2</v>
      </c>
      <c r="BQ9" s="1">
        <v>4.8883756735950031E-3</v>
      </c>
      <c r="BR9" s="1">
        <v>-2.5318879993871321E-2</v>
      </c>
      <c r="BS9" s="1">
        <v>1.2497052581938136E-2</v>
      </c>
      <c r="BT9" s="1">
        <v>-5.7444496196241319E-3</v>
      </c>
      <c r="BU9" s="1">
        <v>-3.7671767645221864E-2</v>
      </c>
      <c r="BV9" s="1">
        <v>-5.4196584317066185E-2</v>
      </c>
      <c r="BW9" s="1">
        <v>3.1310315247694544E-2</v>
      </c>
      <c r="BX9" s="1">
        <v>3.9093366604283546E-3</v>
      </c>
      <c r="BY9" s="1">
        <v>2.7880193877128374E-2</v>
      </c>
      <c r="BZ9" s="1">
        <v>-2.2166693535386105E-2</v>
      </c>
      <c r="CA9" s="1">
        <v>2.6502349352897563E-2</v>
      </c>
      <c r="CB9" s="1">
        <v>1.0118450110419522E-2</v>
      </c>
      <c r="CC9" s="1">
        <v>-3.4185316214174395E-3</v>
      </c>
      <c r="CD9" s="1">
        <v>2.9915041282756968E-3</v>
      </c>
      <c r="CE9" s="1">
        <v>3.5353535353535415E-2</v>
      </c>
      <c r="CF9" s="1">
        <v>1.4442097176877245E-2</v>
      </c>
      <c r="CG9" s="1">
        <v>1.2267615766158074E-2</v>
      </c>
      <c r="CH9" s="1">
        <v>1.5186085655507768E-2</v>
      </c>
      <c r="CI9" s="1">
        <v>-3.2791717328029294E-3</v>
      </c>
      <c r="CJ9" s="1">
        <v>3.1420967026468388E-3</v>
      </c>
      <c r="CK9" s="1">
        <v>7.4068614806352615E-3</v>
      </c>
      <c r="CL9" s="1">
        <v>-1.0425049381812945E-2</v>
      </c>
      <c r="CM9" s="1">
        <v>2.4766199682106087E-3</v>
      </c>
      <c r="CN9" s="1">
        <v>3.5398230088496919E-3</v>
      </c>
      <c r="CO9" s="1">
        <v>6.6504997060552696E-3</v>
      </c>
      <c r="CP9" s="1">
        <v>-4.0515384896157008E-3</v>
      </c>
      <c r="CQ9" s="1">
        <v>-1.7884629480319561E-2</v>
      </c>
      <c r="CR9" s="1">
        <v>-1.6568400626912446E-2</v>
      </c>
      <c r="CS9" s="1">
        <v>-2.1666540183653472E-2</v>
      </c>
      <c r="CT9" s="1">
        <v>4.1888065779778962E-3</v>
      </c>
      <c r="CU9" s="1">
        <v>-8.9992661542622563E-3</v>
      </c>
      <c r="CV9" s="1">
        <v>3.3439862810819398E-2</v>
      </c>
      <c r="CW9" s="1">
        <v>1.1313923668726598E-3</v>
      </c>
      <c r="CX9" s="1">
        <v>9.0409101182853703E-3</v>
      </c>
      <c r="CY9" s="1">
        <v>1.2319868588067798E-3</v>
      </c>
      <c r="CZ9" s="1">
        <v>8.3150005593050375E-3</v>
      </c>
      <c r="DA9" s="1">
        <v>1.0280304711189899E-2</v>
      </c>
      <c r="DB9" s="1">
        <v>2.9282576866758453E-4</v>
      </c>
      <c r="DC9" s="1">
        <v>1.771077283372377E-2</v>
      </c>
      <c r="DD9" s="1">
        <v>-2.0602617575147482E-2</v>
      </c>
      <c r="DE9" s="1">
        <v>5.8739307610420732E-4</v>
      </c>
      <c r="DF9" s="1">
        <v>-8.2186754723904201E-3</v>
      </c>
      <c r="DG9" s="1">
        <v>1.1209352225222791E-2</v>
      </c>
      <c r="DH9" s="1">
        <v>4.0901441428257877E-2</v>
      </c>
      <c r="DI9" s="1">
        <v>-3.5849852382960137E-3</v>
      </c>
      <c r="DJ9" s="1">
        <v>3.527336860670996E-4</v>
      </c>
      <c r="DK9" s="1">
        <v>-1.8829337094499406E-2</v>
      </c>
      <c r="DL9" s="1">
        <v>-2.4868827715086667E-2</v>
      </c>
      <c r="DM9" s="1">
        <v>-1.0319156777473749E-3</v>
      </c>
      <c r="DN9" s="1">
        <v>3.2907843281930256E-2</v>
      </c>
      <c r="DO9" s="1">
        <v>2.0394313879562753E-2</v>
      </c>
      <c r="DP9" s="1">
        <v>-9.3107914172705555E-3</v>
      </c>
      <c r="DQ9" s="1">
        <v>4.5578207257181945E-3</v>
      </c>
      <c r="DR9" s="1">
        <v>-8.6522228474957084E-3</v>
      </c>
      <c r="DS9" s="1">
        <v>9.2599162704889437E-3</v>
      </c>
      <c r="DT9" s="1">
        <v>3.5645234998418061E-2</v>
      </c>
      <c r="DU9" s="1">
        <v>-4.8538746138963602E-3</v>
      </c>
      <c r="DV9" s="1">
        <v>3.2062214339313652E-3</v>
      </c>
      <c r="DW9" s="1">
        <v>1.4449884400924793E-2</v>
      </c>
      <c r="DX9" s="1">
        <v>1.0758454268190432E-2</v>
      </c>
      <c r="DY9" s="1">
        <v>4.3437893759533204E-3</v>
      </c>
      <c r="DZ9" s="1">
        <v>1.555019974248089E-2</v>
      </c>
      <c r="EA9" s="1">
        <v>3.5760728218451492E-4</v>
      </c>
      <c r="EB9" s="1">
        <v>3.0515745344642825E-2</v>
      </c>
      <c r="EC9" s="1">
        <v>-6.2125512456639139E-3</v>
      </c>
      <c r="ED9" s="1">
        <v>2.7004728207406438E-2</v>
      </c>
      <c r="EE9" s="1">
        <v>-5.5308367321714362E-3</v>
      </c>
      <c r="EF9" s="1">
        <v>-3.0386826161255334E-2</v>
      </c>
      <c r="EG9" s="1">
        <v>-4.5118082481494487E-2</v>
      </c>
      <c r="EH9" s="1">
        <v>1.0302359139568418E-2</v>
      </c>
      <c r="EI9" s="1">
        <v>-2.3550122899089799E-2</v>
      </c>
      <c r="EJ9" s="1">
        <v>-7.0075177739225159E-3</v>
      </c>
      <c r="EK9" s="1">
        <v>3.0797163509300646E-2</v>
      </c>
      <c r="EL9" s="1">
        <v>9.4051179793952847E-3</v>
      </c>
      <c r="EM9" s="1">
        <v>1.2247720014486452E-2</v>
      </c>
      <c r="EN9" s="1">
        <v>-2.5922914295007222E-2</v>
      </c>
      <c r="EO9" s="1">
        <v>4.1739014291438488E-3</v>
      </c>
      <c r="EP9" s="1">
        <v>1.8554849865327648E-2</v>
      </c>
      <c r="EQ9" s="1">
        <v>1.4364532662988401E-2</v>
      </c>
      <c r="ER9" s="1">
        <v>5.7931833542533822E-4</v>
      </c>
      <c r="ES9" s="1">
        <v>9.2958924378397072E-3</v>
      </c>
      <c r="ET9" s="1">
        <v>1.4914908534642128E-2</v>
      </c>
      <c r="EU9" s="1">
        <v>6.6884381083966455E-3</v>
      </c>
      <c r="EV9" s="1">
        <v>-2.5047568545494163E-2</v>
      </c>
      <c r="EW9" s="1">
        <v>7.6465318658817073E-3</v>
      </c>
      <c r="EX9" s="1">
        <v>2.1971741546277238E-2</v>
      </c>
      <c r="EY9" s="1">
        <v>-1.6776959642092163E-3</v>
      </c>
      <c r="EZ9" s="1">
        <v>1.8641272212367378E-2</v>
      </c>
      <c r="FA9" s="1">
        <v>2.3585482097030513E-2</v>
      </c>
      <c r="FB9" s="1">
        <v>-1.8027698185291367E-2</v>
      </c>
      <c r="FC9" s="1">
        <v>-1.39817629179332E-2</v>
      </c>
      <c r="FD9" s="1">
        <v>-4.6393341553637349E-2</v>
      </c>
      <c r="FE9" s="1">
        <v>6.7884273476637961E-4</v>
      </c>
      <c r="FF9" s="1">
        <v>1.9543868716888523E-2</v>
      </c>
      <c r="FG9" s="1">
        <v>1.6919615981749549E-2</v>
      </c>
      <c r="FH9" s="1">
        <v>-1.5267175572519368E-3</v>
      </c>
      <c r="FI9" s="1">
        <v>8.5190039318480265E-3</v>
      </c>
      <c r="FJ9" s="1">
        <v>-1.9214703425229678E-2</v>
      </c>
      <c r="FK9" s="1">
        <v>-1.4354217931730744E-2</v>
      </c>
      <c r="FL9" s="1">
        <v>1.4435233492302246E-2</v>
      </c>
      <c r="FM9" s="1">
        <v>-1.7037925159336799E-3</v>
      </c>
      <c r="FN9" s="1">
        <v>-7.616940581542251E-3</v>
      </c>
      <c r="FO9" s="1">
        <v>6.6881110863396777E-4</v>
      </c>
      <c r="FP9" s="1">
        <v>-2.3583704646721732E-2</v>
      </c>
      <c r="FQ9" s="1">
        <v>3.1845888066755701E-2</v>
      </c>
      <c r="FR9" s="1">
        <v>4.3909527419762019E-3</v>
      </c>
      <c r="FS9" s="1">
        <v>1.1888661739267274E-2</v>
      </c>
      <c r="FT9" s="1">
        <v>2.6233176887452202E-2</v>
      </c>
      <c r="FU9" s="1">
        <v>2.910621800890437E-2</v>
      </c>
      <c r="FV9" s="1">
        <v>1.6186944493495791E-2</v>
      </c>
      <c r="FW9" s="1">
        <v>5.3290083410566262E-3</v>
      </c>
      <c r="FX9" s="1">
        <v>1.3194284397326526E-2</v>
      </c>
      <c r="FY9" s="1">
        <v>2.1552459482513463E-2</v>
      </c>
      <c r="FZ9" s="1">
        <v>-6.401692273435634E-3</v>
      </c>
      <c r="GA9" s="1">
        <v>-1.7059779259342347E-2</v>
      </c>
      <c r="GB9" s="1">
        <v>-1.567442788338258E-3</v>
      </c>
      <c r="GC9" s="1">
        <v>1.4928355311982699E-2</v>
      </c>
      <c r="GD9" s="1">
        <v>1.3190089152628169E-2</v>
      </c>
      <c r="GE9" s="1">
        <v>-1.0159329373230356E-2</v>
      </c>
      <c r="GF9" s="1">
        <v>3.7577117218170917E-3</v>
      </c>
      <c r="GG9" s="1">
        <v>1.9779851371738235E-2</v>
      </c>
      <c r="GH9" s="1">
        <v>-3.1779080598322508E-3</v>
      </c>
      <c r="GI9" s="1">
        <v>2.4734788105315229E-2</v>
      </c>
      <c r="GJ9" s="1">
        <v>5.766239339162091E-3</v>
      </c>
      <c r="GK9" s="1">
        <v>1.3279645876110019E-2</v>
      </c>
      <c r="GL9" s="1">
        <v>5.2369799205242481E-3</v>
      </c>
      <c r="GM9" s="1">
        <v>-3.0525158385255838E-2</v>
      </c>
      <c r="GN9" s="1">
        <v>4.9686757399007124E-3</v>
      </c>
      <c r="GO9" s="1">
        <v>1.2172184006878688E-2</v>
      </c>
      <c r="GP9" s="1">
        <v>-2.4157795534790545E-3</v>
      </c>
      <c r="GQ9" s="1">
        <v>-9.101069774868166E-3</v>
      </c>
      <c r="GR9" s="1">
        <v>1.3427865506499086E-3</v>
      </c>
      <c r="GS9" s="1">
        <v>-2.2260365820952659E-3</v>
      </c>
      <c r="GT9" s="1">
        <v>6.5048517592667691E-3</v>
      </c>
      <c r="GU9" s="1">
        <v>-2.6171718520495695E-3</v>
      </c>
      <c r="GV9" s="1">
        <v>-1.8877018234396366E-2</v>
      </c>
      <c r="GW9" s="1">
        <v>6.0859123410293139E-3</v>
      </c>
      <c r="GX9" s="1">
        <v>-2.232469822324688E-2</v>
      </c>
      <c r="GY9" s="1">
        <v>1.0460018866877481E-2</v>
      </c>
      <c r="GZ9" s="1">
        <v>-8.7866223674453771E-4</v>
      </c>
      <c r="HA9" s="1">
        <v>-1.6654299612498976E-2</v>
      </c>
      <c r="HB9" s="1">
        <v>-1.6433302590760448E-2</v>
      </c>
      <c r="HC9" s="1">
        <v>-1.8497996760719435E-2</v>
      </c>
      <c r="HD9" s="1">
        <v>-2.0757338891783959E-2</v>
      </c>
      <c r="HE9" s="1">
        <v>2.4804138950480375E-2</v>
      </c>
      <c r="HF9" s="1">
        <v>3.2454419570736213E-2</v>
      </c>
      <c r="HG9" s="1">
        <v>-9.7795411998099976E-3</v>
      </c>
      <c r="HH9" s="1">
        <v>-7.2518976269081896E-3</v>
      </c>
      <c r="HI9" s="1">
        <v>-3.4392587118412246E-3</v>
      </c>
      <c r="HJ9" s="1">
        <v>-1.0410427540572243E-2</v>
      </c>
      <c r="HK9" s="1">
        <v>-1.0375835831218493E-3</v>
      </c>
      <c r="HL9" s="1">
        <v>6.8378534333525809E-3</v>
      </c>
      <c r="HM9">
        <v>-1.1720205175230054E-2</v>
      </c>
      <c r="HN9">
        <v>-3.8448155880306166E-2</v>
      </c>
      <c r="HO9">
        <v>1.5650443278451231E-2</v>
      </c>
      <c r="HP9">
        <v>8.4023633502567745E-3</v>
      </c>
      <c r="HQ9">
        <v>2.1493345895654256E-2</v>
      </c>
      <c r="HR9">
        <v>1.7294056609212623E-4</v>
      </c>
      <c r="HS9">
        <v>7.6080691642650905E-3</v>
      </c>
      <c r="HT9">
        <v>3.2318956641116448E-3</v>
      </c>
      <c r="HU9">
        <v>8.7806824985034101E-3</v>
      </c>
      <c r="HV9">
        <v>-3.7586547972305803E-3</v>
      </c>
      <c r="HW9">
        <v>2.2126404175649643E-2</v>
      </c>
      <c r="HX9">
        <v>-2.0204262877442199E-2</v>
      </c>
      <c r="HY9">
        <v>-2.4359845909811981E-2</v>
      </c>
      <c r="HZ9">
        <v>-7.3452560678201511E-3</v>
      </c>
      <c r="IA9">
        <v>2.5035828141908693E-2</v>
      </c>
      <c r="IB9">
        <v>4.6023910748423526E-2</v>
      </c>
      <c r="IC9">
        <v>-1.9094380796522099E-4</v>
      </c>
      <c r="ID9">
        <v>-1.3204921834501884E-2</v>
      </c>
      <c r="IE9">
        <v>-7.4649561779419342E-4</v>
      </c>
      <c r="IF9">
        <v>-2.1304853079519639E-2</v>
      </c>
    </row>
    <row r="10" spans="1:240">
      <c r="A10" t="s">
        <v>25</v>
      </c>
      <c r="B10" s="1">
        <v>1.366975925011603E-2</v>
      </c>
      <c r="C10" s="1">
        <v>-1.1653435691645566E-2</v>
      </c>
      <c r="D10" s="1">
        <v>-4.0624333409340005E-2</v>
      </c>
      <c r="E10" s="1">
        <v>1.6690945334662258E-2</v>
      </c>
      <c r="F10" s="1">
        <v>-4.1803977165609622E-2</v>
      </c>
      <c r="G10" s="1">
        <v>4.4340034707055859E-2</v>
      </c>
      <c r="H10" s="1">
        <v>3.8779931799770184E-2</v>
      </c>
      <c r="I10" s="1">
        <v>3.6708296002350097E-3</v>
      </c>
      <c r="J10" s="1">
        <v>2.8370178424931065E-2</v>
      </c>
      <c r="K10" s="1">
        <v>1.6130789424669023E-3</v>
      </c>
      <c r="L10" s="1">
        <v>1.1073373378992852E-2</v>
      </c>
      <c r="M10" s="1">
        <v>-9.3314917893976609E-3</v>
      </c>
      <c r="N10" s="1">
        <v>-5.4820912514230991E-3</v>
      </c>
      <c r="O10" s="1">
        <v>4.5824380965799787E-3</v>
      </c>
      <c r="P10" s="1">
        <v>1.2043715003979478E-2</v>
      </c>
      <c r="Q10" s="1">
        <v>-2.3488979580524932E-3</v>
      </c>
      <c r="R10" s="1">
        <v>1.2088148683187002E-2</v>
      </c>
      <c r="S10" s="1">
        <v>-1.5409213961962421E-2</v>
      </c>
      <c r="T10" s="1">
        <v>-1.0782065668146577E-2</v>
      </c>
      <c r="U10" s="1">
        <v>-2.1961220866330247E-2</v>
      </c>
      <c r="V10" s="1">
        <v>2.3909519864567824E-2</v>
      </c>
      <c r="W10" s="1">
        <v>-6.6993119169234686E-2</v>
      </c>
      <c r="X10" s="1">
        <v>7.0883479624770694E-3</v>
      </c>
      <c r="Y10" s="1">
        <v>6.3626901880915229E-2</v>
      </c>
      <c r="Z10" s="1">
        <v>-1.9771276914033357E-2</v>
      </c>
      <c r="AA10" s="1">
        <v>-3.2863883482594919E-2</v>
      </c>
      <c r="AB10" s="1">
        <v>-2.3952029109271234E-2</v>
      </c>
      <c r="AC10" s="1">
        <v>5.9704274590210639E-2</v>
      </c>
      <c r="AD10" s="1">
        <v>2.2844917328968366E-2</v>
      </c>
      <c r="AE10" s="1">
        <v>9.0300346040191257E-3</v>
      </c>
      <c r="AF10" s="1">
        <v>1.3835992362031277E-2</v>
      </c>
      <c r="AG10" s="1">
        <v>5.1734370765277342E-3</v>
      </c>
      <c r="AH10" s="1">
        <v>1.8143530479834372E-2</v>
      </c>
      <c r="AI10" s="1">
        <v>-1.7766574034661583E-4</v>
      </c>
      <c r="AJ10" s="1">
        <v>3.7886407832093418E-3</v>
      </c>
      <c r="AK10" s="1">
        <v>-3.6363940011356385E-2</v>
      </c>
      <c r="AL10" s="1">
        <v>3.1126192795222296E-3</v>
      </c>
      <c r="AM10" s="1">
        <v>1.1247369566794767E-2</v>
      </c>
      <c r="AN10" s="1">
        <v>-5.7029413372697143E-3</v>
      </c>
      <c r="AO10" s="1">
        <v>-7.1790148700800636E-3</v>
      </c>
      <c r="AP10" s="1">
        <v>1.9058629689371318E-2</v>
      </c>
      <c r="AQ10" s="1">
        <v>2.8865096941617648E-2</v>
      </c>
      <c r="AR10" s="1">
        <v>2.2482519098586161E-3</v>
      </c>
      <c r="AS10" s="1">
        <v>5.6986063119476989E-4</v>
      </c>
      <c r="AT10" s="1">
        <v>5.6558553575895903E-3</v>
      </c>
      <c r="AU10" s="1">
        <v>2.3324407314534137E-2</v>
      </c>
      <c r="AV10" s="1">
        <v>1.3765239172230303E-2</v>
      </c>
      <c r="AW10" s="1">
        <v>-8.1002959905586182E-3</v>
      </c>
      <c r="AX10" s="1">
        <v>1.119506259245711E-2</v>
      </c>
      <c r="AY10" s="1">
        <v>1.6208699591636407E-2</v>
      </c>
      <c r="AZ10" s="1">
        <v>-3.1578360773483519E-3</v>
      </c>
      <c r="BA10" s="1">
        <v>5.8263402756640855E-3</v>
      </c>
      <c r="BB10" s="1">
        <v>-1.6016080923356209E-2</v>
      </c>
      <c r="BC10" s="1">
        <v>2.3067388405114998E-2</v>
      </c>
      <c r="BD10" s="1">
        <v>4.2174550495972709E-3</v>
      </c>
      <c r="BE10" s="1">
        <v>-1.8240628464787904E-2</v>
      </c>
      <c r="BF10" s="1">
        <v>-1.8486197573958814E-2</v>
      </c>
      <c r="BG10" s="1">
        <v>2.191849426442297E-2</v>
      </c>
      <c r="BH10" s="1">
        <v>-1.5862184477763747E-2</v>
      </c>
      <c r="BI10" s="1">
        <v>1.8216888126875181E-2</v>
      </c>
      <c r="BJ10" s="1">
        <v>-6.8097118872801341E-4</v>
      </c>
      <c r="BK10" s="1">
        <v>-6.1948656953117259E-4</v>
      </c>
      <c r="BL10" s="1">
        <v>-3.4743745505938471E-3</v>
      </c>
      <c r="BM10" s="1">
        <v>7.8189390004571539E-3</v>
      </c>
      <c r="BN10" s="1">
        <v>-2.4410491264993798E-3</v>
      </c>
      <c r="BO10" s="1">
        <v>-1.0960556844547513E-2</v>
      </c>
      <c r="BP10" s="1">
        <v>4.2101048772782692E-3</v>
      </c>
      <c r="BQ10" s="1">
        <v>4.4478637483529957E-3</v>
      </c>
      <c r="BR10" s="1">
        <v>1.8357670684474661E-3</v>
      </c>
      <c r="BS10" s="1">
        <v>-2.5474118852395644E-2</v>
      </c>
      <c r="BT10" s="1">
        <v>-1.5353684217212926E-2</v>
      </c>
      <c r="BU10" s="1">
        <v>-3.0189446112854835E-2</v>
      </c>
      <c r="BV10" s="1">
        <v>4.525195409945125E-2</v>
      </c>
      <c r="BW10" s="1">
        <v>-7.672113411083396E-3</v>
      </c>
      <c r="BX10" s="1">
        <v>-2.7347006836751772E-2</v>
      </c>
      <c r="BY10" s="1">
        <v>-4.7013675506731474E-3</v>
      </c>
      <c r="BZ10" s="1">
        <v>2.3535062439961483E-2</v>
      </c>
      <c r="CA10" s="1">
        <v>2.5825660609395036E-3</v>
      </c>
      <c r="CB10" s="1">
        <v>7.0756924785260076E-3</v>
      </c>
      <c r="CC10" s="1">
        <v>9.0164591246374385E-3</v>
      </c>
      <c r="CD10" s="1">
        <v>4.8253165522017466E-3</v>
      </c>
      <c r="CE10" s="1">
        <v>5.5766841491288396E-3</v>
      </c>
      <c r="CF10" s="1">
        <v>-1.1713997378026277E-2</v>
      </c>
      <c r="CG10" s="1">
        <v>9.1520732929331432E-3</v>
      </c>
      <c r="CH10" s="1">
        <v>2.8401926665657194E-3</v>
      </c>
      <c r="CI10" s="1">
        <v>1.431476772293348E-2</v>
      </c>
      <c r="CJ10" s="1">
        <v>-3.700180050637322E-3</v>
      </c>
      <c r="CK10" s="1">
        <v>7.0608069227012153E-4</v>
      </c>
      <c r="CL10" s="1">
        <v>-3.6460276016411844E-3</v>
      </c>
      <c r="CM10" s="1">
        <v>1.3002773384246396E-2</v>
      </c>
      <c r="CN10" s="1">
        <v>1.5151748456338579E-2</v>
      </c>
      <c r="CO10" s="1">
        <v>2.5331047977307959E-3</v>
      </c>
      <c r="CP10" s="1">
        <v>-5.8250370684177081E-3</v>
      </c>
      <c r="CQ10" s="1">
        <v>-8.8724527842455794E-3</v>
      </c>
      <c r="CR10" s="1">
        <v>3.1704695513312585E-2</v>
      </c>
      <c r="CS10" s="1">
        <v>-1.0200801300177996E-2</v>
      </c>
      <c r="CT10" s="1">
        <v>1.7382047172109387E-2</v>
      </c>
      <c r="CU10" s="1">
        <v>1.3809941857543532E-2</v>
      </c>
      <c r="CV10" s="1">
        <v>6.0499330862822508E-3</v>
      </c>
      <c r="CW10" s="1">
        <v>2.4228091834901573E-3</v>
      </c>
      <c r="CX10" s="1">
        <v>9.9829425539910786E-3</v>
      </c>
      <c r="CY10" s="1">
        <v>4.7202892286378247E-3</v>
      </c>
      <c r="CZ10" s="1">
        <v>8.783675981218925E-3</v>
      </c>
      <c r="DA10" s="1">
        <v>7.7864859140013174E-3</v>
      </c>
      <c r="DB10" s="1">
        <v>1.9149067348219868E-2</v>
      </c>
      <c r="DC10" s="1">
        <v>-7.424415327292475E-5</v>
      </c>
      <c r="DD10" s="1">
        <v>1.0749701626342596E-2</v>
      </c>
      <c r="DE10" s="1">
        <v>-2.6355812998065525E-2</v>
      </c>
      <c r="DF10" s="1">
        <v>2.101659866987091E-2</v>
      </c>
      <c r="DG10" s="1">
        <v>5.1316297234941062E-3</v>
      </c>
      <c r="DH10" s="1">
        <v>-5.2551898403289162E-4</v>
      </c>
      <c r="DI10" s="1">
        <v>1.6836346894129443E-3</v>
      </c>
      <c r="DJ10" s="1">
        <v>-1.814888449498343E-2</v>
      </c>
      <c r="DK10" s="1">
        <v>-2.9065837876168905E-2</v>
      </c>
      <c r="DL10" s="1">
        <v>3.8902757371296559E-2</v>
      </c>
      <c r="DM10" s="1">
        <v>1.183574945558296E-2</v>
      </c>
      <c r="DN10" s="1">
        <v>4.1605488776288203E-3</v>
      </c>
      <c r="DO10" s="1">
        <v>2.6735568684897612E-2</v>
      </c>
      <c r="DP10" s="1">
        <v>-4.3223493363798802E-3</v>
      </c>
      <c r="DQ10" s="1">
        <v>-1.3036558412030315E-2</v>
      </c>
      <c r="DR10" s="1">
        <v>5.4806556428519861E-3</v>
      </c>
      <c r="DS10" s="1">
        <v>-6.2899783940174939E-3</v>
      </c>
      <c r="DT10" s="1">
        <v>-7.0268473289401114E-3</v>
      </c>
      <c r="DU10" s="1">
        <v>-6.8173779689343558E-3</v>
      </c>
      <c r="DV10" s="1">
        <v>1.9138131639898678E-2</v>
      </c>
      <c r="DW10" s="1">
        <v>-5.3295349060529483E-3</v>
      </c>
      <c r="DX10" s="1">
        <v>1.3813577048705467E-2</v>
      </c>
      <c r="DY10" s="1">
        <v>1.4815696544062274E-2</v>
      </c>
      <c r="DZ10" s="1">
        <v>1.6212862899651762E-3</v>
      </c>
      <c r="EA10" s="1">
        <v>4.8794070804750855E-3</v>
      </c>
      <c r="EB10" s="1">
        <v>6.9145368425688745E-4</v>
      </c>
      <c r="EC10" s="1">
        <v>8.1002044460547554E-3</v>
      </c>
      <c r="ED10" s="1">
        <v>-7.755301124403151E-3</v>
      </c>
      <c r="EE10" s="1">
        <v>4.4189289530398058E-3</v>
      </c>
      <c r="EF10" s="1">
        <v>-1.5532150005023351E-3</v>
      </c>
      <c r="EG10" s="1">
        <v>-2.0037458980867961E-2</v>
      </c>
      <c r="EH10" s="1">
        <v>6.784131923329037E-3</v>
      </c>
      <c r="EI10" s="1">
        <v>1.7286642924007715E-2</v>
      </c>
      <c r="EJ10" s="1">
        <v>7.4618617383593678E-3</v>
      </c>
      <c r="EK10" s="1">
        <v>6.6080194311494013E-4</v>
      </c>
      <c r="EL10" s="1">
        <v>6.2747477734970743E-3</v>
      </c>
      <c r="EM10" s="1">
        <v>-1.2116513119888036E-2</v>
      </c>
      <c r="EN10" s="1">
        <v>1.2383106856876047E-2</v>
      </c>
      <c r="EO10" s="1">
        <v>6.8099940716569744E-3</v>
      </c>
      <c r="EP10" s="1">
        <v>-4.5193531990276939E-3</v>
      </c>
      <c r="EQ10" s="1">
        <v>-6.9083886493126814E-3</v>
      </c>
      <c r="ER10" s="1">
        <v>3.6296716750705096E-3</v>
      </c>
      <c r="ES10" s="1">
        <v>-1.9629773344593273E-3</v>
      </c>
      <c r="ET10" s="1">
        <v>-1.0418651928085659E-3</v>
      </c>
      <c r="EU10" s="1">
        <v>2.0960787555803725E-3</v>
      </c>
      <c r="EV10" s="1">
        <v>-9.3390093390093298E-3</v>
      </c>
      <c r="EW10" s="1">
        <v>-1.8246809819094972E-2</v>
      </c>
      <c r="EX10" s="1">
        <v>7.509024140064045E-3</v>
      </c>
      <c r="EY10" s="1">
        <v>-1.2970964934095922E-2</v>
      </c>
      <c r="EZ10" s="1">
        <v>1.7204318008235953E-2</v>
      </c>
      <c r="FA10" s="1">
        <v>7.6219669525549238E-3</v>
      </c>
      <c r="FB10" s="1">
        <v>-1.2703639781008731E-2</v>
      </c>
      <c r="FC10" s="1">
        <v>-3.2926389612949643E-2</v>
      </c>
      <c r="FD10" s="1">
        <v>-1.6896331618671497E-4</v>
      </c>
      <c r="FE10" s="1">
        <v>1.7623437831110138E-2</v>
      </c>
      <c r="FF10" s="1">
        <v>2.0863591911832565E-2</v>
      </c>
      <c r="FG10" s="1">
        <v>8.2962373865172988E-3</v>
      </c>
      <c r="FH10" s="1">
        <v>-4.8399859666014428E-3</v>
      </c>
      <c r="FI10" s="1">
        <v>-3.8071882390178322E-2</v>
      </c>
      <c r="FJ10" s="1">
        <v>1.2086289364707471E-2</v>
      </c>
      <c r="FK10" s="1">
        <v>-1.7008960431369534E-2</v>
      </c>
      <c r="FL10" s="1">
        <v>2.0925261162424925E-2</v>
      </c>
      <c r="FM10" s="1">
        <v>-3.2619832120460261E-2</v>
      </c>
      <c r="FN10" s="1">
        <v>2.7035710007296571E-2</v>
      </c>
      <c r="FO10" s="1">
        <v>1.7748169512912894E-2</v>
      </c>
      <c r="FP10" s="1">
        <v>1.4912077350052224E-2</v>
      </c>
      <c r="FQ10" s="1">
        <v>-7.0269632123847294E-3</v>
      </c>
      <c r="FR10" s="1">
        <v>-1.3432272605090617E-2</v>
      </c>
      <c r="FS10" s="1">
        <v>9.6409025771071423E-4</v>
      </c>
      <c r="FT10" s="1">
        <v>4.0594124190277353E-3</v>
      </c>
      <c r="FU10" s="1">
        <v>3.1337813391167382E-2</v>
      </c>
      <c r="FV10" s="1">
        <v>1.1611331284374003E-2</v>
      </c>
      <c r="FW10" s="1">
        <v>8.3949210727509629E-3</v>
      </c>
      <c r="FX10" s="1">
        <v>7.4578421316048756E-3</v>
      </c>
      <c r="FY10" s="1">
        <v>6.6574523132618231E-3</v>
      </c>
      <c r="FZ10" s="1">
        <v>7.3683361876678843E-3</v>
      </c>
      <c r="GA10" s="1">
        <v>-4.0501048904412014E-3</v>
      </c>
      <c r="GB10" s="1">
        <v>1.5319055677985893E-2</v>
      </c>
      <c r="GC10" s="1">
        <v>6.4347317222920222E-3</v>
      </c>
      <c r="GD10" s="1">
        <v>-1.2246240220761255E-2</v>
      </c>
      <c r="GE10" s="1">
        <v>6.0627261761158286E-3</v>
      </c>
      <c r="GF10" s="1">
        <v>2.1781095553376015E-2</v>
      </c>
      <c r="GG10" s="1">
        <v>9.5800007510043993E-3</v>
      </c>
      <c r="GH10" s="1">
        <v>1.2034553138468363E-2</v>
      </c>
      <c r="GI10" s="1">
        <v>1.9781557579446631E-2</v>
      </c>
      <c r="GJ10" s="1">
        <v>-2.9551745963100613E-3</v>
      </c>
      <c r="GK10" s="1">
        <v>-5.2433610825586598E-3</v>
      </c>
      <c r="GL10" s="1">
        <v>-6.9356443063674309E-3</v>
      </c>
      <c r="GM10" s="1">
        <v>9.7534760336625576E-3</v>
      </c>
      <c r="GN10" s="1">
        <v>2.0364855224269344E-2</v>
      </c>
      <c r="GO10" s="1">
        <v>4.2038722679825433E-3</v>
      </c>
      <c r="GP10" s="1">
        <v>2.1006518120995236E-2</v>
      </c>
      <c r="GQ10" s="1">
        <v>1.6972084817126296E-3</v>
      </c>
      <c r="GR10" s="1">
        <v>-1.3636786040770947E-3</v>
      </c>
      <c r="GS10" s="1">
        <v>1.9282041515901417E-3</v>
      </c>
      <c r="GT10" s="1">
        <v>2.7906233328077673E-3</v>
      </c>
      <c r="GU10" s="1">
        <v>-1.2557321047405345E-3</v>
      </c>
      <c r="GV10" s="1">
        <v>1.7820172184744937E-2</v>
      </c>
      <c r="GW10" s="1">
        <v>-6.4142252055827881E-2</v>
      </c>
      <c r="GX10" s="1">
        <v>3.3952259446339998E-2</v>
      </c>
      <c r="GY10" s="1">
        <v>-3.6244594076750521E-2</v>
      </c>
      <c r="GZ10" s="1">
        <v>-4.0904474431011278E-2</v>
      </c>
      <c r="HA10" s="1">
        <v>3.2204112574623453E-2</v>
      </c>
      <c r="HB10" s="1">
        <v>-1.3254107051873475E-2</v>
      </c>
      <c r="HC10" s="1">
        <v>2.4312751343795222E-2</v>
      </c>
      <c r="HD10" s="1">
        <v>4.7469073007684104E-2</v>
      </c>
      <c r="HE10" s="1">
        <v>-6.791719868110984E-3</v>
      </c>
      <c r="HF10" s="1">
        <v>-8.8941950917138836E-3</v>
      </c>
      <c r="HG10" s="1">
        <v>1.3541398272144839E-2</v>
      </c>
      <c r="HH10" s="1">
        <v>-1.3325714087059288E-2</v>
      </c>
      <c r="HI10" s="1">
        <v>-1.5276202640358482E-2</v>
      </c>
      <c r="HJ10" s="1">
        <v>3.7140403606698132E-2</v>
      </c>
      <c r="HK10" s="1">
        <v>-2.9798868419236832E-2</v>
      </c>
      <c r="HL10" s="1">
        <v>-1.1445563566215362E-2</v>
      </c>
      <c r="HM10">
        <v>-2.5928157443919558E-2</v>
      </c>
      <c r="HN10">
        <v>4.2338202472805953E-2</v>
      </c>
      <c r="HO10">
        <v>8.9478474016699665E-3</v>
      </c>
      <c r="HP10">
        <v>1.5476519670454691E-2</v>
      </c>
      <c r="HQ10">
        <v>2.4691491430917853E-2</v>
      </c>
      <c r="HR10">
        <v>6.2218566442043255E-4</v>
      </c>
      <c r="HS10">
        <v>-7.2592374006703849E-3</v>
      </c>
      <c r="HT10">
        <v>-1.2123502609419467E-3</v>
      </c>
      <c r="HU10">
        <v>1.2431576374052799E-2</v>
      </c>
      <c r="HV10">
        <v>-7.0906200985590808E-3</v>
      </c>
      <c r="HW10">
        <v>-4.6588395511814581E-2</v>
      </c>
      <c r="HX10">
        <v>5.4429916491998452E-3</v>
      </c>
      <c r="HY10">
        <v>-1.54375933414074E-2</v>
      </c>
      <c r="HZ10">
        <v>1.6210669241851616E-2</v>
      </c>
      <c r="IA10">
        <v>-9.1258659540598593E-3</v>
      </c>
      <c r="IB10">
        <v>-3.7912182053239075E-2</v>
      </c>
      <c r="IC10">
        <v>5.948622588576021E-3</v>
      </c>
      <c r="ID10">
        <v>-2.2253593016064239E-2</v>
      </c>
      <c r="IE10">
        <v>-1.9594979095240096E-2</v>
      </c>
      <c r="IF10">
        <v>-2.2198024124011565E-2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Lapa2"/>
  <dimension ref="A1:J10"/>
  <sheetViews>
    <sheetView workbookViewId="0">
      <selection activeCell="L3" sqref="L3"/>
    </sheetView>
  </sheetViews>
  <sheetFormatPr defaultColWidth="9.109375" defaultRowHeight="14.4"/>
  <sheetData>
    <row r="1" spans="1:10">
      <c r="B1" t="s">
        <v>27</v>
      </c>
      <c r="C1" t="s">
        <v>28</v>
      </c>
      <c r="D1" t="s">
        <v>29</v>
      </c>
      <c r="E1" t="s">
        <v>20</v>
      </c>
      <c r="F1" t="s">
        <v>0</v>
      </c>
      <c r="G1" t="s">
        <v>24</v>
      </c>
      <c r="H1" t="s">
        <v>2</v>
      </c>
      <c r="I1" t="s">
        <v>3</v>
      </c>
      <c r="J1" t="s">
        <v>25</v>
      </c>
    </row>
    <row r="2" spans="1:10">
      <c r="A2" t="s">
        <v>27</v>
      </c>
      <c r="B2" s="59">
        <v>4.1728231933547922E-3</v>
      </c>
      <c r="C2" s="59">
        <v>9.6088254901469268E-5</v>
      </c>
      <c r="D2" s="59">
        <v>9.414438198518842E-5</v>
      </c>
      <c r="E2" s="59">
        <v>6.1915514534917283E-5</v>
      </c>
      <c r="F2" s="59">
        <v>1.368386575705474E-4</v>
      </c>
      <c r="G2" s="59">
        <v>6.8047668933590588E-5</v>
      </c>
      <c r="H2" s="59">
        <v>5.055839523925504E-5</v>
      </c>
      <c r="I2" s="59">
        <v>9.0620749619710336E-5</v>
      </c>
      <c r="J2" s="59">
        <v>1.500895696128232E-4</v>
      </c>
    </row>
    <row r="3" spans="1:10">
      <c r="A3" t="s">
        <v>28</v>
      </c>
      <c r="B3" s="59">
        <v>9.6088254901469268E-5</v>
      </c>
      <c r="C3" s="59">
        <v>6.5143128110043823E-4</v>
      </c>
      <c r="D3" s="59">
        <v>2.1464145750750015E-4</v>
      </c>
      <c r="E3" s="59">
        <v>4.024374475257107E-5</v>
      </c>
      <c r="F3" s="59">
        <v>1.1538898768305597E-5</v>
      </c>
      <c r="G3" s="59">
        <v>-6.8644113507439149E-6</v>
      </c>
      <c r="H3" s="59">
        <v>6.2013444121486837E-5</v>
      </c>
      <c r="I3" s="59">
        <v>-1.7112015344507621E-5</v>
      </c>
      <c r="J3" s="59">
        <v>2.0012049176245606E-5</v>
      </c>
    </row>
    <row r="4" spans="1:10">
      <c r="A4" t="s">
        <v>29</v>
      </c>
      <c r="B4" s="59">
        <v>9.414438198518842E-5</v>
      </c>
      <c r="C4" s="59">
        <v>2.1464145750750015E-4</v>
      </c>
      <c r="D4" s="59">
        <v>3.7062528711481394E-4</v>
      </c>
      <c r="E4" s="59">
        <v>3.984027821632913E-5</v>
      </c>
      <c r="F4" s="59">
        <v>8.3234926120997243E-5</v>
      </c>
      <c r="G4" s="59">
        <v>5.8779490219957415E-5</v>
      </c>
      <c r="H4" s="59">
        <v>7.1523982173667388E-5</v>
      </c>
      <c r="I4" s="59">
        <v>-2.0408791752528352E-5</v>
      </c>
      <c r="J4" s="59">
        <v>7.4184091881550294E-5</v>
      </c>
    </row>
    <row r="5" spans="1:10">
      <c r="A5" t="s">
        <v>20</v>
      </c>
      <c r="B5" s="59">
        <v>6.1915514534917283E-5</v>
      </c>
      <c r="C5" s="59">
        <v>4.024374475257107E-5</v>
      </c>
      <c r="D5" s="59">
        <v>3.984027821632913E-5</v>
      </c>
      <c r="E5" s="59">
        <v>8.189593738267731E-4</v>
      </c>
      <c r="F5" s="59">
        <v>2.8340889365932061E-4</v>
      </c>
      <c r="G5" s="59">
        <v>1.2500172670179246E-4</v>
      </c>
      <c r="H5" s="59">
        <v>1.8558729022292441E-4</v>
      </c>
      <c r="I5" s="59">
        <v>5.2799977394121672E-5</v>
      </c>
      <c r="J5" s="59">
        <v>1.7442446467650174E-4</v>
      </c>
    </row>
    <row r="6" spans="1:10">
      <c r="A6" t="s">
        <v>0</v>
      </c>
      <c r="B6" s="59">
        <v>1.368386575705474E-4</v>
      </c>
      <c r="C6" s="59">
        <v>1.1538898768305597E-5</v>
      </c>
      <c r="D6" s="59">
        <v>8.3234926120997243E-5</v>
      </c>
      <c r="E6" s="59">
        <v>2.8340889365932061E-4</v>
      </c>
      <c r="F6" s="59">
        <v>5.7724791366599965E-4</v>
      </c>
      <c r="G6" s="59">
        <v>1.9518777121609518E-4</v>
      </c>
      <c r="H6" s="59">
        <v>1.8335647940050711E-4</v>
      </c>
      <c r="I6" s="59">
        <v>-8.3104468686584683E-5</v>
      </c>
      <c r="J6" s="59">
        <v>2.8321321566841812E-4</v>
      </c>
    </row>
    <row r="7" spans="1:10">
      <c r="A7" t="s">
        <v>24</v>
      </c>
      <c r="B7" s="59">
        <v>6.8047668933590588E-5</v>
      </c>
      <c r="C7" s="59">
        <v>-6.8644113507439149E-6</v>
      </c>
      <c r="D7" s="59">
        <v>5.8779490219957415E-5</v>
      </c>
      <c r="E7" s="59">
        <v>1.2500172670179246E-4</v>
      </c>
      <c r="F7" s="59">
        <v>1.9518777121609518E-4</v>
      </c>
      <c r="G7" s="59">
        <v>2.3128011733644896E-4</v>
      </c>
      <c r="H7" s="59">
        <v>8.2560654191097936E-5</v>
      </c>
      <c r="I7" s="59">
        <v>-7.4414290728386152E-6</v>
      </c>
      <c r="J7" s="59">
        <v>1.8347662816286666E-4</v>
      </c>
    </row>
    <row r="8" spans="1:10">
      <c r="A8" t="s">
        <v>2</v>
      </c>
      <c r="B8" s="59">
        <v>5.055839523925504E-5</v>
      </c>
      <c r="C8" s="59">
        <v>6.2013444121486837E-5</v>
      </c>
      <c r="D8" s="59">
        <v>7.1523982173667388E-5</v>
      </c>
      <c r="E8" s="59">
        <v>1.8558729022292441E-4</v>
      </c>
      <c r="F8" s="59">
        <v>1.8335647940050711E-4</v>
      </c>
      <c r="G8" s="59">
        <v>8.2560654191097936E-5</v>
      </c>
      <c r="H8" s="59">
        <v>2.8078495807309657E-4</v>
      </c>
      <c r="I8" s="59">
        <v>1.1141560588702714E-5</v>
      </c>
      <c r="J8" s="59">
        <v>1.4719642847631255E-4</v>
      </c>
    </row>
    <row r="9" spans="1:10">
      <c r="A9" t="s">
        <v>3</v>
      </c>
      <c r="B9" s="59">
        <v>9.0620749619710336E-5</v>
      </c>
      <c r="C9" s="59">
        <v>-1.7112015344507621E-5</v>
      </c>
      <c r="D9" s="59">
        <v>-2.0408791752528352E-5</v>
      </c>
      <c r="E9" s="59">
        <v>5.2799977394121672E-5</v>
      </c>
      <c r="F9" s="59">
        <v>-8.3104468686584683E-5</v>
      </c>
      <c r="G9" s="59">
        <v>-7.4414290728386152E-6</v>
      </c>
      <c r="H9" s="59">
        <v>1.1141560588702714E-5</v>
      </c>
      <c r="I9" s="59">
        <v>3.7994750409009134E-4</v>
      </c>
      <c r="J9" s="59">
        <v>-5.4488483839923243E-5</v>
      </c>
    </row>
    <row r="10" spans="1:10">
      <c r="A10" t="s">
        <v>25</v>
      </c>
      <c r="B10" s="59">
        <v>1.500895696128232E-4</v>
      </c>
      <c r="C10" s="59">
        <v>2.0012049176245606E-5</v>
      </c>
      <c r="D10" s="59">
        <v>7.4184091881550294E-5</v>
      </c>
      <c r="E10" s="59">
        <v>1.7442446467650174E-4</v>
      </c>
      <c r="F10" s="59">
        <v>2.8321321566841812E-4</v>
      </c>
      <c r="G10" s="59">
        <v>1.8347662816286666E-4</v>
      </c>
      <c r="H10" s="59">
        <v>1.4719642847631255E-4</v>
      </c>
      <c r="I10" s="59">
        <v>-5.4488483839923243E-5</v>
      </c>
      <c r="J10" s="59">
        <v>3.5437031885033059E-4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Lapa6"/>
  <dimension ref="A1:N227"/>
  <sheetViews>
    <sheetView workbookViewId="0">
      <selection activeCell="L8" sqref="L8"/>
    </sheetView>
  </sheetViews>
  <sheetFormatPr defaultColWidth="9.109375" defaultRowHeight="14.4"/>
  <cols>
    <col min="1" max="1" width="13.21875" style="1" bestFit="1" customWidth="1"/>
    <col min="2" max="2" width="12.33203125" bestFit="1" customWidth="1"/>
    <col min="3" max="3" width="10.88671875" bestFit="1" customWidth="1"/>
    <col min="4" max="4" width="11.6640625" bestFit="1" customWidth="1"/>
    <col min="5" max="5" width="6.33203125" customWidth="1"/>
    <col min="6" max="6" width="15.44140625" style="55" bestFit="1" customWidth="1"/>
    <col min="7" max="7" width="13.21875" style="58" bestFit="1" customWidth="1"/>
    <col min="8" max="8" width="11.88671875" style="55" bestFit="1" customWidth="1"/>
    <col min="9" max="9" width="11.6640625" style="56" bestFit="1" customWidth="1"/>
    <col min="11" max="11" width="22.44140625" bestFit="1" customWidth="1"/>
    <col min="12" max="12" width="12.33203125" bestFit="1" customWidth="1"/>
    <col min="13" max="13" width="10.88671875" bestFit="1" customWidth="1"/>
    <col min="14" max="14" width="11.6640625" bestFit="1" customWidth="1"/>
  </cols>
  <sheetData>
    <row r="1" spans="1:14">
      <c r="A1" s="1" t="s">
        <v>19</v>
      </c>
      <c r="B1" t="s">
        <v>8</v>
      </c>
      <c r="C1" s="8" t="s">
        <v>6</v>
      </c>
      <c r="D1" s="8" t="s">
        <v>12</v>
      </c>
      <c r="F1" s="55" t="s">
        <v>23</v>
      </c>
      <c r="G1" s="56" t="s">
        <v>19</v>
      </c>
      <c r="H1" s="57" t="s">
        <v>6</v>
      </c>
      <c r="I1" s="57" t="s">
        <v>12</v>
      </c>
      <c r="K1" s="1" t="s">
        <v>19</v>
      </c>
      <c r="L1" t="s">
        <v>8</v>
      </c>
      <c r="M1" s="8" t="s">
        <v>6</v>
      </c>
      <c r="N1" s="8" t="s">
        <v>12</v>
      </c>
    </row>
    <row r="2" spans="1:14">
      <c r="A2" s="46">
        <v>0.16251276411130999</v>
      </c>
      <c r="B2" s="34">
        <v>1E-3</v>
      </c>
      <c r="C2" s="35">
        <v>1.5456166273055851</v>
      </c>
      <c r="D2" s="36">
        <v>0.26200900107132408</v>
      </c>
      <c r="G2" s="58">
        <v>0.1625520861802856</v>
      </c>
      <c r="H2" s="55">
        <v>1.5609986836232066</v>
      </c>
      <c r="I2" s="56">
        <v>0.26500039021043453</v>
      </c>
      <c r="K2" s="1" t="s">
        <v>13</v>
      </c>
      <c r="M2" s="43">
        <f>MAX(C2:C200)</f>
        <v>2.166018061586771</v>
      </c>
      <c r="N2" s="44">
        <f>MATCH(M2,C2:C200,0)</f>
        <v>175</v>
      </c>
    </row>
    <row r="3" spans="1:14">
      <c r="A3" s="47">
        <v>0.16252786781392925</v>
      </c>
      <c r="B3" s="37">
        <v>2E-3</v>
      </c>
      <c r="C3" s="38">
        <v>1.565825943212986</v>
      </c>
      <c r="D3" s="39">
        <v>0.26587857416267702</v>
      </c>
      <c r="G3" s="58">
        <v>0.16456301031943088</v>
      </c>
      <c r="H3" s="55">
        <v>1.4406892518338013</v>
      </c>
      <c r="I3" s="56">
        <v>0.24539445601205556</v>
      </c>
      <c r="K3" s="45">
        <f>INDEX(A2:A200,$N$2)</f>
        <v>0.20874265490934718</v>
      </c>
      <c r="L3" s="45">
        <f>INDEX(B2:B200,$N$2)</f>
        <v>0.17500000000000013</v>
      </c>
      <c r="M3" s="43">
        <f>INDEX(C2:C200,$N$2)</f>
        <v>2.166018061586771</v>
      </c>
      <c r="N3" s="45">
        <f>INDEX(D2:D200,$N$2)</f>
        <v>0.50748917248497061</v>
      </c>
    </row>
    <row r="4" spans="1:14">
      <c r="A4" s="47">
        <v>0.16253734379387774</v>
      </c>
      <c r="B4" s="37">
        <v>3.0000000000000001E-3</v>
      </c>
      <c r="C4" s="38">
        <v>1.5715452889110049</v>
      </c>
      <c r="D4" s="39">
        <v>0.26698485410295891</v>
      </c>
      <c r="G4" s="58">
        <v>0.16252786781392925</v>
      </c>
      <c r="H4" s="55">
        <v>1.565825943212986</v>
      </c>
      <c r="I4" s="56">
        <v>0.26587857416267702</v>
      </c>
    </row>
    <row r="5" spans="1:14">
      <c r="A5" s="47">
        <v>0.16254925986217406</v>
      </c>
      <c r="B5" s="37">
        <v>4.0000000000000001E-3</v>
      </c>
      <c r="C5" s="38">
        <v>1.5775560715787815</v>
      </c>
      <c r="D5" s="39">
        <v>0.26815203775963559</v>
      </c>
      <c r="G5" s="58">
        <v>0.1625610190734883</v>
      </c>
      <c r="H5" s="55">
        <v>1.5692975281697787</v>
      </c>
      <c r="I5" s="56">
        <v>0.26659677460689535</v>
      </c>
    </row>
    <row r="6" spans="1:14">
      <c r="A6" s="47">
        <v>0.16256303429897323</v>
      </c>
      <c r="B6" s="37">
        <v>5.0000000000000001E-3</v>
      </c>
      <c r="C6" s="38">
        <v>1.5829686540634273</v>
      </c>
      <c r="D6" s="39">
        <v>0.26920937079838203</v>
      </c>
      <c r="G6" s="58">
        <v>0.1632353696716542</v>
      </c>
      <c r="H6" s="55">
        <v>1.5314135153398118</v>
      </c>
      <c r="I6" s="56">
        <v>0.26051306371422389</v>
      </c>
    </row>
    <row r="7" spans="1:14">
      <c r="A7" s="47">
        <v>0.16259622672474405</v>
      </c>
      <c r="B7" s="37">
        <v>6.0000000000000001E-3</v>
      </c>
      <c r="C7" s="38">
        <v>1.5933162700282699</v>
      </c>
      <c r="D7" s="39">
        <v>0.27124559101036083</v>
      </c>
      <c r="G7" s="58">
        <v>0.16808713982182977</v>
      </c>
      <c r="H7" s="55">
        <v>1.3392415092605316</v>
      </c>
      <c r="I7" s="56">
        <v>0.23127676758700177</v>
      </c>
    </row>
    <row r="8" spans="1:14">
      <c r="A8" s="47">
        <v>0.16265488958323937</v>
      </c>
      <c r="B8" s="37">
        <v>7.0000000000000001E-3</v>
      </c>
      <c r="C8" s="38">
        <v>1.6083996678186916</v>
      </c>
      <c r="D8" s="39">
        <v>0.27423901232907055</v>
      </c>
      <c r="G8" s="58">
        <v>0.16256463847595448</v>
      </c>
      <c r="H8" s="55">
        <v>1.5833808899774455</v>
      </c>
      <c r="I8" s="56">
        <v>0.26929090180853565</v>
      </c>
    </row>
    <row r="9" spans="1:14">
      <c r="A9" s="47">
        <v>0.16269166046024353</v>
      </c>
      <c r="B9" s="37">
        <v>8.0000000000000002E-3</v>
      </c>
      <c r="C9" s="38">
        <v>1.6167238729399678</v>
      </c>
      <c r="D9" s="39">
        <v>0.27590264768098538</v>
      </c>
      <c r="G9" s="58">
        <v>0.16259266738730171</v>
      </c>
      <c r="H9" s="55">
        <v>1.5769224735883702</v>
      </c>
      <c r="I9" s="56">
        <v>0.26810574119697228</v>
      </c>
    </row>
    <row r="10" spans="1:14">
      <c r="A10" s="47">
        <v>0.16274635839478768</v>
      </c>
      <c r="B10" s="37">
        <v>9.0000000000000011E-3</v>
      </c>
      <c r="C10" s="38">
        <v>1.6273650267040671</v>
      </c>
      <c r="D10" s="39">
        <v>0.27804721787464404</v>
      </c>
      <c r="G10" s="58">
        <v>0.16360078406894041</v>
      </c>
      <c r="H10" s="55">
        <v>1.5331765627280936</v>
      </c>
      <c r="I10" s="56">
        <v>0.26145602312335892</v>
      </c>
    </row>
    <row r="11" spans="1:14">
      <c r="A11" s="47">
        <v>0.16280166587863376</v>
      </c>
      <c r="B11" s="37">
        <v>1.0000000000000002E-2</v>
      </c>
      <c r="C11" s="38">
        <v>1.6368283327340902</v>
      </c>
      <c r="D11" s="39">
        <v>0.27997049957335474</v>
      </c>
      <c r="G11" s="58">
        <v>0.18067376074551245</v>
      </c>
      <c r="H11" s="55">
        <v>1.6396205657360492</v>
      </c>
      <c r="I11" s="56">
        <v>0.31292348469064168</v>
      </c>
    </row>
    <row r="12" spans="1:14">
      <c r="A12" s="47">
        <v>0.16285505210241191</v>
      </c>
      <c r="B12" s="37">
        <v>1.1000000000000003E-2</v>
      </c>
      <c r="C12" s="38">
        <v>1.6450220115279781</v>
      </c>
      <c r="D12" s="39">
        <v>0.28164896931316341</v>
      </c>
      <c r="G12" s="58">
        <v>0.16269485960227326</v>
      </c>
      <c r="H12" s="55">
        <v>1.6171579923323081</v>
      </c>
      <c r="I12" s="56">
        <v>0.2759917597882946</v>
      </c>
    </row>
    <row r="13" spans="1:14">
      <c r="A13" s="47">
        <v>0.16291530311572622</v>
      </c>
      <c r="B13" s="37">
        <v>1.2000000000000004E-2</v>
      </c>
      <c r="C13" s="38">
        <v>1.653369499747366</v>
      </c>
      <c r="D13" s="39">
        <v>0.28337288137620065</v>
      </c>
      <c r="G13" s="58">
        <v>0.16280838208527193</v>
      </c>
      <c r="H13" s="55">
        <v>1.6337735844550365</v>
      </c>
      <c r="I13" s="56">
        <v>0.27939337302735145</v>
      </c>
    </row>
    <row r="14" spans="1:14">
      <c r="A14" s="47">
        <v>0.16298098928223315</v>
      </c>
      <c r="B14" s="37">
        <v>1.3000000000000005E-2</v>
      </c>
      <c r="C14" s="38">
        <v>1.661923474789107</v>
      </c>
      <c r="D14" s="39">
        <v>0.28515022066872997</v>
      </c>
      <c r="G14" s="58">
        <v>0.16337125002360575</v>
      </c>
      <c r="H14" s="55">
        <v>1.6174661525345833</v>
      </c>
      <c r="I14" s="56">
        <v>0.27725144036503657</v>
      </c>
    </row>
    <row r="15" spans="1:14">
      <c r="A15" s="47">
        <v>0.16306088538535346</v>
      </c>
      <c r="B15" s="37">
        <v>1.4000000000000005E-2</v>
      </c>
      <c r="C15" s="38">
        <v>1.6712085796162677</v>
      </c>
      <c r="D15" s="39">
        <v>0.287099537662451</v>
      </c>
      <c r="G15" s="58">
        <v>0.16820614790146093</v>
      </c>
      <c r="H15" s="55">
        <v>1.3638412677711336</v>
      </c>
      <c r="I15" s="56">
        <v>0.2361608073021535</v>
      </c>
    </row>
    <row r="16" spans="1:14">
      <c r="A16" s="47">
        <v>0.16314967518754897</v>
      </c>
      <c r="B16" s="37">
        <v>1.5000000000000006E-2</v>
      </c>
      <c r="C16" s="38">
        <v>1.6807984478400597</v>
      </c>
      <c r="D16" s="39">
        <v>0.28912932003966674</v>
      </c>
      <c r="G16" s="58">
        <v>0.16284356247559106</v>
      </c>
      <c r="H16" s="55">
        <v>1.6431876133196239</v>
      </c>
      <c r="I16" s="56">
        <v>0.28127375735749216</v>
      </c>
    </row>
    <row r="17" spans="1:9">
      <c r="A17" s="47">
        <v>0.16322914322982607</v>
      </c>
      <c r="B17" s="37">
        <v>1.6000000000000007E-2</v>
      </c>
      <c r="C17" s="38">
        <v>1.6887730037622417</v>
      </c>
      <c r="D17" s="39">
        <v>0.29083161672517899</v>
      </c>
      <c r="G17" s="58">
        <v>0.16291555235411082</v>
      </c>
      <c r="H17" s="55">
        <v>1.6518864936005613</v>
      </c>
      <c r="I17" s="56">
        <v>0.28308631890864122</v>
      </c>
    </row>
    <row r="18" spans="1:9">
      <c r="A18" s="47">
        <v>0.16331348076443453</v>
      </c>
      <c r="B18" s="37">
        <v>1.7000000000000008E-2</v>
      </c>
      <c r="C18" s="38">
        <v>1.6966934405418361</v>
      </c>
      <c r="D18" s="39">
        <v>0.29253615187752757</v>
      </c>
      <c r="G18" s="58">
        <v>0.16330618191089918</v>
      </c>
      <c r="H18" s="55">
        <v>1.6715154879606067</v>
      </c>
      <c r="I18" s="56">
        <v>0.28761277011663067</v>
      </c>
    </row>
    <row r="19" spans="1:9">
      <c r="A19" s="47">
        <v>0.16339051089750378</v>
      </c>
      <c r="B19" s="37">
        <v>1.8000000000000009E-2</v>
      </c>
      <c r="C19" s="38">
        <v>1.7034773316948406</v>
      </c>
      <c r="D19" s="39">
        <v>0.29400812847477731</v>
      </c>
      <c r="G19" s="58">
        <v>0.16829907710593384</v>
      </c>
      <c r="H19" s="55">
        <v>1.3758758939693552</v>
      </c>
      <c r="I19" s="56">
        <v>0.23861005687889736</v>
      </c>
    </row>
    <row r="20" spans="1:9">
      <c r="A20" s="47">
        <v>0.16349011446107498</v>
      </c>
      <c r="B20" s="37">
        <v>1.900000000000001E-2</v>
      </c>
      <c r="C20" s="38">
        <v>1.7118130697877867</v>
      </c>
      <c r="D20" s="39">
        <v>0.29583013030861638</v>
      </c>
      <c r="G20" s="58">
        <v>0.16429969368639874</v>
      </c>
      <c r="H20" s="55">
        <v>1.504163147924199</v>
      </c>
      <c r="I20" s="56">
        <v>0.25706077556673179</v>
      </c>
    </row>
    <row r="21" spans="1:9">
      <c r="A21" s="47">
        <v>0.16358583374506952</v>
      </c>
      <c r="B21" s="37">
        <v>2.0000000000000011E-2</v>
      </c>
      <c r="C21" s="38">
        <v>1.7193965465637133</v>
      </c>
      <c r="D21" s="39">
        <v>0.29750130026446686</v>
      </c>
      <c r="G21" s="58">
        <v>0.16368103421980695</v>
      </c>
      <c r="H21" s="55">
        <v>1.696794319318023</v>
      </c>
      <c r="I21" s="56">
        <v>0.29324858248030128</v>
      </c>
    </row>
    <row r="22" spans="1:9">
      <c r="A22" s="47">
        <v>0.16370733850126573</v>
      </c>
      <c r="B22" s="37">
        <v>2.1000000000000012E-2</v>
      </c>
      <c r="C22" s="38">
        <v>1.7284654867347491</v>
      </c>
      <c r="D22" s="39">
        <v>0.29951832208220908</v>
      </c>
      <c r="G22" s="58">
        <v>0.16322450058159044</v>
      </c>
      <c r="H22" s="55">
        <v>1.6881202942781171</v>
      </c>
      <c r="I22" s="56">
        <v>0.29069563463369175</v>
      </c>
    </row>
    <row r="23" spans="1:9">
      <c r="A23" s="47">
        <v>0.16379363267184655</v>
      </c>
      <c r="B23" s="37">
        <v>2.2000000000000013E-2</v>
      </c>
      <c r="C23" s="38">
        <v>1.7345476096628214</v>
      </c>
      <c r="D23" s="39">
        <v>0.30088347585892206</v>
      </c>
      <c r="G23" s="58">
        <v>0.16337900013768492</v>
      </c>
      <c r="H23" s="55">
        <v>1.7023742737249588</v>
      </c>
      <c r="I23" s="56">
        <v>0.29377051304695168</v>
      </c>
    </row>
    <row r="24" spans="1:9">
      <c r="A24" s="47">
        <v>0.16394250938336086</v>
      </c>
      <c r="B24" s="37">
        <v>2.3000000000000013E-2</v>
      </c>
      <c r="C24" s="38">
        <v>1.7445477183661666</v>
      </c>
      <c r="D24" s="39">
        <v>0.30314732029555147</v>
      </c>
      <c r="G24" s="58">
        <v>0.16349011446107498</v>
      </c>
      <c r="H24" s="55">
        <v>1.7118130697877867</v>
      </c>
      <c r="I24" s="56">
        <v>0.29583013030861638</v>
      </c>
    </row>
    <row r="25" spans="1:9">
      <c r="A25" s="47">
        <v>0.16404207782056734</v>
      </c>
      <c r="B25" s="37">
        <v>2.4000000000000014E-2</v>
      </c>
      <c r="C25" s="38">
        <v>1.7508660404395149</v>
      </c>
      <c r="D25" s="39">
        <v>0.30459219300224682</v>
      </c>
      <c r="G25" s="58">
        <v>0.16358583374506952</v>
      </c>
      <c r="H25" s="55">
        <v>1.7193965465637133</v>
      </c>
      <c r="I25" s="56">
        <v>0.29750130026446686</v>
      </c>
    </row>
    <row r="26" spans="1:9">
      <c r="A26" s="47">
        <v>0.16418491086634268</v>
      </c>
      <c r="B26" s="37">
        <v>2.5000000000000015E-2</v>
      </c>
      <c r="C26" s="38">
        <v>1.7595501566032474</v>
      </c>
      <c r="D26" s="39">
        <v>0.30659476376368477</v>
      </c>
      <c r="G26" s="58">
        <v>0.16367511391499145</v>
      </c>
      <c r="H26" s="55">
        <v>1.7261120403540353</v>
      </c>
      <c r="I26" s="56">
        <v>0.29899302328564148</v>
      </c>
    </row>
    <row r="27" spans="1:9">
      <c r="A27" s="47">
        <v>0.16437982788854688</v>
      </c>
      <c r="B27" s="37">
        <v>2.6000000000000016E-2</v>
      </c>
      <c r="C27" s="38">
        <v>1.7706906450830724</v>
      </c>
      <c r="D27" s="39">
        <v>0.30919554048972087</v>
      </c>
      <c r="G27" s="58">
        <v>0.16382642448250606</v>
      </c>
      <c r="H27" s="55">
        <v>1.7367418088540856</v>
      </c>
      <c r="I27" s="56">
        <v>0.30137982947194031</v>
      </c>
    </row>
    <row r="28" spans="1:9">
      <c r="A28" s="47">
        <v>0.16448399393951574</v>
      </c>
      <c r="B28" s="37">
        <v>2.7000000000000017E-2</v>
      </c>
      <c r="C28" s="38">
        <v>1.7763595582520544</v>
      </c>
      <c r="D28" s="39">
        <v>0.31053274579801338</v>
      </c>
      <c r="G28" s="58">
        <v>0.16394250938336086</v>
      </c>
      <c r="H28" s="55">
        <v>1.7445477183661666</v>
      </c>
      <c r="I28" s="56">
        <v>0.30314732029555147</v>
      </c>
    </row>
    <row r="29" spans="1:9">
      <c r="A29" s="47">
        <v>0.16463653229289021</v>
      </c>
      <c r="B29" s="37">
        <v>2.8000000000000018E-2</v>
      </c>
      <c r="C29" s="38">
        <v>1.784297664985399</v>
      </c>
      <c r="D29" s="39">
        <v>0.31242312456917087</v>
      </c>
      <c r="G29" s="58">
        <v>0.16882986222456942</v>
      </c>
      <c r="H29" s="55">
        <v>1.4184177141367278</v>
      </c>
      <c r="I29" s="56">
        <v>0.24763205514189934</v>
      </c>
    </row>
    <row r="30" spans="1:9">
      <c r="A30" s="47">
        <v>0.16480004267441095</v>
      </c>
      <c r="B30" s="37">
        <v>2.9000000000000019E-2</v>
      </c>
      <c r="C30" s="38">
        <v>1.7924809938164128</v>
      </c>
      <c r="D30" s="39">
        <v>0.31439021591628946</v>
      </c>
      <c r="G30" s="58">
        <v>0.16418491086634268</v>
      </c>
      <c r="H30" s="55">
        <v>1.7595501566032474</v>
      </c>
      <c r="I30" s="56">
        <v>0.30659476376368477</v>
      </c>
    </row>
    <row r="31" spans="1:9">
      <c r="A31" s="47">
        <v>0.16495729073741461</v>
      </c>
      <c r="B31" s="37">
        <v>3.000000000000002E-2</v>
      </c>
      <c r="C31" s="38">
        <v>1.7999969105259661</v>
      </c>
      <c r="D31" s="39">
        <v>0.31621646199052988</v>
      </c>
      <c r="G31" s="58">
        <v>0.16434982560501687</v>
      </c>
      <c r="H31" s="55">
        <v>1.7689634398840077</v>
      </c>
      <c r="I31" s="56">
        <v>0.30879209904413374</v>
      </c>
    </row>
    <row r="32" spans="1:9">
      <c r="A32" s="47">
        <v>0.16511970790726416</v>
      </c>
      <c r="B32" s="37">
        <v>3.1000000000000021E-2</v>
      </c>
      <c r="C32" s="38">
        <v>1.8074472700677238</v>
      </c>
      <c r="D32" s="39">
        <v>0.31804523486433145</v>
      </c>
      <c r="G32" s="58">
        <v>0.16447708423678575</v>
      </c>
      <c r="H32" s="55">
        <v>1.7757065083453571</v>
      </c>
      <c r="I32" s="56">
        <v>0.31038873175660586</v>
      </c>
    </row>
    <row r="33" spans="1:9">
      <c r="A33" s="47">
        <v>0.16528728224948441</v>
      </c>
      <c r="B33" s="37">
        <v>3.2000000000000021E-2</v>
      </c>
      <c r="C33" s="38">
        <v>1.8148317493444484</v>
      </c>
      <c r="D33" s="39">
        <v>0.31987653801921123</v>
      </c>
      <c r="G33" s="58">
        <v>0.16503523237277373</v>
      </c>
      <c r="H33" s="55">
        <v>1.8023979403461889</v>
      </c>
      <c r="I33" s="56">
        <v>0.31685737748469855</v>
      </c>
    </row>
    <row r="34" spans="1:9">
      <c r="A34" s="47">
        <v>0.16546517702188734</v>
      </c>
      <c r="B34" s="37">
        <v>3.3000000000000022E-2</v>
      </c>
      <c r="C34" s="38">
        <v>1.8223787346466782</v>
      </c>
      <c r="D34" s="39">
        <v>0.32176730879048443</v>
      </c>
      <c r="G34" s="58">
        <v>0.16518544129103363</v>
      </c>
      <c r="H34" s="55">
        <v>1.7989528972379558</v>
      </c>
      <c r="I34" s="56">
        <v>0.31647029055764175</v>
      </c>
    </row>
    <row r="35" spans="1:9">
      <c r="A35" s="47">
        <v>0.16564132757012029</v>
      </c>
      <c r="B35" s="37">
        <v>3.4000000000000023E-2</v>
      </c>
      <c r="C35" s="38">
        <v>1.829555143091862</v>
      </c>
      <c r="D35" s="39">
        <v>0.32358503011859052</v>
      </c>
      <c r="G35" s="58">
        <v>0.16528074825296879</v>
      </c>
      <c r="H35" s="55">
        <v>1.7360588655266906</v>
      </c>
      <c r="I35" s="56">
        <v>0.30406798310938798</v>
      </c>
    </row>
    <row r="36" spans="1:9">
      <c r="A36" s="47">
        <v>0.16582249192493359</v>
      </c>
      <c r="B36" s="37">
        <v>3.5000000000000024E-2</v>
      </c>
      <c r="C36" s="38">
        <v>1.8366661798632513</v>
      </c>
      <c r="D36" s="39">
        <v>0.32540524074049504</v>
      </c>
      <c r="G36" s="58">
        <v>0.16437394415776918</v>
      </c>
      <c r="H36" s="55">
        <v>1.5729403955089787</v>
      </c>
      <c r="I36" s="56">
        <v>0.27040026157618402</v>
      </c>
    </row>
    <row r="37" spans="1:9">
      <c r="A37" s="47">
        <v>0.16600793189134233</v>
      </c>
      <c r="B37" s="37">
        <v>3.6000000000000025E-2</v>
      </c>
      <c r="C37" s="38">
        <v>1.8436737227078914</v>
      </c>
      <c r="D37" s="39">
        <v>0.32721870721673629</v>
      </c>
      <c r="G37" s="58">
        <v>0.16932236032645953</v>
      </c>
      <c r="H37" s="55">
        <v>1.4441388579942234</v>
      </c>
      <c r="I37" s="56">
        <v>0.25340736855768586</v>
      </c>
    </row>
    <row r="38" spans="1:9">
      <c r="A38" s="47">
        <v>0.16619631047941441</v>
      </c>
      <c r="B38" s="37">
        <v>3.7000000000000026E-2</v>
      </c>
      <c r="C38" s="38">
        <v>1.850570231192858</v>
      </c>
      <c r="D38" s="39">
        <v>0.32902106951344923</v>
      </c>
      <c r="G38" s="58">
        <v>0.18067376074551245</v>
      </c>
      <c r="H38" s="55">
        <v>1.6396205657360492</v>
      </c>
      <c r="I38" s="56">
        <v>0.31292348469064168</v>
      </c>
    </row>
    <row r="39" spans="1:9">
      <c r="A39" s="47">
        <v>0.16634761330664327</v>
      </c>
      <c r="B39" s="37">
        <v>3.8000000000000027E-2</v>
      </c>
      <c r="C39" s="38">
        <v>1.8559325442677053</v>
      </c>
      <c r="D39" s="39">
        <v>0.33043638763078076</v>
      </c>
      <c r="G39" s="58">
        <v>0.16546517702188734</v>
      </c>
      <c r="H39" s="55">
        <v>1.8223787346466782</v>
      </c>
      <c r="I39" s="56">
        <v>0.32176730879048443</v>
      </c>
    </row>
    <row r="40" spans="1:9">
      <c r="A40" s="47">
        <v>0.1665828731794774</v>
      </c>
      <c r="B40" s="37">
        <v>3.9000000000000028E-2</v>
      </c>
      <c r="C40" s="38">
        <v>1.8639475759038726</v>
      </c>
      <c r="D40" s="39">
        <v>0.33257741661290452</v>
      </c>
      <c r="G40" s="58">
        <v>0.16566560665183649</v>
      </c>
      <c r="H40" s="55">
        <v>1.8305140292012554</v>
      </c>
      <c r="I40" s="56">
        <v>0.32382985190253999</v>
      </c>
    </row>
    <row r="41" spans="1:9">
      <c r="A41" s="47">
        <v>0.1667731524127376</v>
      </c>
      <c r="B41" s="37">
        <v>4.0000000000000029E-2</v>
      </c>
      <c r="C41" s="38">
        <v>1.8702516507381166</v>
      </c>
      <c r="D41" s="39">
        <v>0.33427797233923395</v>
      </c>
      <c r="G41" s="58">
        <v>0.16580093577689126</v>
      </c>
      <c r="H41" s="55">
        <v>1.8357733502049669</v>
      </c>
      <c r="I41" s="56">
        <v>0.32517889101456809</v>
      </c>
    </row>
    <row r="42" spans="1:9">
      <c r="A42" s="47">
        <v>0.16702110464268238</v>
      </c>
      <c r="B42" s="37">
        <v>4.1000000000000029E-2</v>
      </c>
      <c r="C42" s="38">
        <v>1.878165106420661</v>
      </c>
      <c r="D42" s="39">
        <v>0.3364390728637916</v>
      </c>
      <c r="G42" s="58">
        <v>0.16592612453170474</v>
      </c>
      <c r="H42" s="55">
        <v>1.8403754989059418</v>
      </c>
      <c r="I42" s="56">
        <v>0.32637595193528779</v>
      </c>
    </row>
    <row r="43" spans="1:9">
      <c r="A43" s="47">
        <v>0.16718982979074348</v>
      </c>
      <c r="B43" s="37">
        <v>4.200000000000003E-2</v>
      </c>
      <c r="C43" s="38">
        <v>1.8833861697324337</v>
      </c>
      <c r="D43" s="39">
        <v>0.33788028733453235</v>
      </c>
      <c r="G43" s="58">
        <v>0.1668459873430912</v>
      </c>
      <c r="H43" s="55">
        <v>1.8681665115835504</v>
      </c>
      <c r="I43" s="56">
        <v>0.33400476416454361</v>
      </c>
    </row>
    <row r="44" spans="1:9">
      <c r="A44" s="47">
        <v>0.16741262017592073</v>
      </c>
      <c r="B44" s="37">
        <v>4.3000000000000031E-2</v>
      </c>
      <c r="C44" s="38">
        <v>1.8900673994181447</v>
      </c>
      <c r="D44" s="39">
        <v>0.33974460367580805</v>
      </c>
      <c r="G44" s="58">
        <v>0.16621081826740802</v>
      </c>
      <c r="H44" s="55">
        <v>1.8510719205491892</v>
      </c>
      <c r="I44" s="56">
        <v>0.32915408667242074</v>
      </c>
    </row>
    <row r="45" spans="1:9">
      <c r="A45" s="47">
        <v>0.16760160137114433</v>
      </c>
      <c r="B45" s="37">
        <v>4.4000000000000032E-2</v>
      </c>
      <c r="C45" s="38">
        <v>1.8955607170603599</v>
      </c>
      <c r="D45" s="39">
        <v>0.34129450533607475</v>
      </c>
      <c r="G45" s="58">
        <v>0.16664410714782441</v>
      </c>
      <c r="H45" s="55">
        <v>1.8626108166135047</v>
      </c>
      <c r="I45" s="56">
        <v>0.3324334075926989</v>
      </c>
    </row>
    <row r="46" spans="1:9">
      <c r="A46" s="47">
        <v>0.16785686631564989</v>
      </c>
      <c r="B46" s="37">
        <v>4.5000000000000033E-2</v>
      </c>
      <c r="C46" s="38">
        <v>1.9027674734715958</v>
      </c>
      <c r="D46" s="39">
        <v>0.34335012089958084</v>
      </c>
      <c r="G46" s="58">
        <v>0.16603008466536107</v>
      </c>
      <c r="H46" s="55">
        <v>1.723693830402778</v>
      </c>
      <c r="I46" s="56">
        <v>0.30304815973789223</v>
      </c>
    </row>
    <row r="47" spans="1:9">
      <c r="A47" s="47">
        <v>0.16817719225117878</v>
      </c>
      <c r="B47" s="37">
        <v>4.6000000000000034E-2</v>
      </c>
      <c r="C47" s="38">
        <v>1.9114349868457934</v>
      </c>
      <c r="D47" s="39">
        <v>0.34586131885050286</v>
      </c>
      <c r="G47" s="58">
        <v>0.1665638998610286</v>
      </c>
      <c r="H47" s="55">
        <v>1.8630394337018978</v>
      </c>
      <c r="I47" s="56">
        <v>0.33235078243724514</v>
      </c>
    </row>
    <row r="48" spans="1:9">
      <c r="A48" s="47">
        <v>0.16840120793909708</v>
      </c>
      <c r="B48" s="37">
        <v>4.7000000000000035E-2</v>
      </c>
      <c r="C48" s="38">
        <v>1.9173067321692161</v>
      </c>
      <c r="D48" s="39">
        <v>0.34758419478997471</v>
      </c>
      <c r="G48" s="58">
        <v>0.16819581111282056</v>
      </c>
      <c r="H48" s="55">
        <v>1.9070708984716442</v>
      </c>
      <c r="I48" s="56">
        <v>0.34499032361464543</v>
      </c>
    </row>
    <row r="49" spans="1:9">
      <c r="A49" s="47">
        <v>0.16865015358484214</v>
      </c>
      <c r="B49" s="37">
        <v>4.8000000000000036E-2</v>
      </c>
      <c r="C49" s="38">
        <v>1.9236451465049933</v>
      </c>
      <c r="D49" s="39">
        <v>0.34946558571044162</v>
      </c>
      <c r="G49" s="58">
        <v>0.1667731524127376</v>
      </c>
      <c r="H49" s="55">
        <v>1.8702516507381166</v>
      </c>
      <c r="I49" s="56">
        <v>0.33427797233923395</v>
      </c>
    </row>
    <row r="50" spans="1:9">
      <c r="A50" s="47">
        <v>0.16893243568685401</v>
      </c>
      <c r="B50" s="37">
        <v>4.9000000000000037E-2</v>
      </c>
      <c r="C50" s="38">
        <v>1.9305983803678841</v>
      </c>
      <c r="D50" s="39">
        <v>0.35155703780381287</v>
      </c>
      <c r="G50" s="58">
        <v>0.16680300438389017</v>
      </c>
      <c r="H50" s="55">
        <v>1.8704610272993683</v>
      </c>
      <c r="I50" s="56">
        <v>0.33438484496224841</v>
      </c>
    </row>
    <row r="51" spans="1:9">
      <c r="A51" s="47">
        <v>0.16914715684738768</v>
      </c>
      <c r="B51" s="37">
        <v>5.0000000000000037E-2</v>
      </c>
      <c r="C51" s="38">
        <v>1.9357255697226836</v>
      </c>
      <c r="D51" s="39">
        <v>0.35311882919912896</v>
      </c>
      <c r="G51" s="58">
        <v>0.16756527508980223</v>
      </c>
      <c r="H51" s="55">
        <v>1.8902844651190298</v>
      </c>
      <c r="I51" s="56">
        <v>0.34012057653337258</v>
      </c>
    </row>
    <row r="52" spans="1:9">
      <c r="A52" s="47">
        <v>0.16938925078266731</v>
      </c>
      <c r="B52" s="37">
        <v>5.1000000000000038E-2</v>
      </c>
      <c r="C52" s="38">
        <v>1.9413483643330061</v>
      </c>
      <c r="D52" s="39">
        <v>0.35485135816265223</v>
      </c>
      <c r="G52" s="58">
        <v>0.16844472527312737</v>
      </c>
      <c r="H52" s="55">
        <v>1.8490697194028394</v>
      </c>
      <c r="I52" s="56">
        <v>0.3334528866715516</v>
      </c>
    </row>
    <row r="53" spans="1:9">
      <c r="A53" s="47">
        <v>0.16967280907609994</v>
      </c>
      <c r="B53" s="37">
        <v>5.2000000000000039E-2</v>
      </c>
      <c r="C53" s="38">
        <v>1.9477598607026199</v>
      </c>
      <c r="D53" s="39">
        <v>0.35685026660595764</v>
      </c>
      <c r="G53" s="58">
        <v>0.16456823071590287</v>
      </c>
      <c r="H53" s="55">
        <v>1.5416070115386971</v>
      </c>
      <c r="I53" s="56">
        <v>0.26468606455023247</v>
      </c>
    </row>
    <row r="54" spans="1:9">
      <c r="A54" s="47">
        <v>0.16995912135547786</v>
      </c>
      <c r="B54" s="37">
        <v>5.300000000000004E-2</v>
      </c>
      <c r="C54" s="38">
        <v>1.9540598415347166</v>
      </c>
      <c r="D54" s="39">
        <v>0.35883866206887616</v>
      </c>
      <c r="G54" s="58">
        <v>0.16747795856043091</v>
      </c>
      <c r="H54" s="55">
        <v>1.8919358667894335</v>
      </c>
      <c r="I54" s="56">
        <v>0.34027361821347046</v>
      </c>
    </row>
    <row r="55" spans="1:9">
      <c r="A55" s="47">
        <v>0.17019863251805201</v>
      </c>
      <c r="B55" s="37">
        <v>5.4000000000000041E-2</v>
      </c>
      <c r="C55" s="38">
        <v>1.9591627818011648</v>
      </c>
      <c r="D55" s="39">
        <v>0.36047163254386172</v>
      </c>
      <c r="G55" s="58">
        <v>0.16813573333122833</v>
      </c>
      <c r="H55" s="55">
        <v>1.9081608662104719</v>
      </c>
      <c r="I55" s="56">
        <v>0.34508611016196689</v>
      </c>
    </row>
    <row r="56" spans="1:9">
      <c r="A56" s="47">
        <v>0.17051090676966241</v>
      </c>
      <c r="B56" s="37">
        <v>5.5000000000000042E-2</v>
      </c>
      <c r="C56" s="38">
        <v>1.9656293373325946</v>
      </c>
      <c r="D56" s="39">
        <v>0.36256773413194265</v>
      </c>
      <c r="G56" s="58">
        <v>0.16468436846914902</v>
      </c>
      <c r="H56" s="55">
        <v>1.5450974978106686</v>
      </c>
      <c r="I56" s="56">
        <v>0.26555323919131379</v>
      </c>
    </row>
    <row r="57" spans="1:9">
      <c r="A57" s="47">
        <v>0.17081078669214511</v>
      </c>
      <c r="B57" s="37">
        <v>5.6000000000000043E-2</v>
      </c>
      <c r="C57" s="38">
        <v>1.9716591945708164</v>
      </c>
      <c r="D57" s="39">
        <v>0.36454921315024502</v>
      </c>
      <c r="G57" s="58">
        <v>0.16809445113823562</v>
      </c>
      <c r="H57" s="55">
        <v>1.90892172589632</v>
      </c>
      <c r="I57" s="56">
        <v>0.34515432551050451</v>
      </c>
    </row>
    <row r="58" spans="1:9">
      <c r="A58" s="47">
        <v>0.17114128560191677</v>
      </c>
      <c r="B58" s="37">
        <v>5.7000000000000044E-2</v>
      </c>
      <c r="C58" s="38">
        <v>1.9780803359257761</v>
      </c>
      <c r="D58" s="39">
        <v>0.36669261556537958</v>
      </c>
      <c r="G58" s="58">
        <v>0.16982022250983375</v>
      </c>
      <c r="H58" s="55">
        <v>1.9480233848883111</v>
      </c>
      <c r="I58" s="56">
        <v>0.35723919843633367</v>
      </c>
    </row>
    <row r="59" spans="1:9">
      <c r="A59" s="47">
        <v>0.17138220055417319</v>
      </c>
      <c r="B59" s="37">
        <v>5.8000000000000045E-2</v>
      </c>
      <c r="C59" s="38">
        <v>1.9826607871725297</v>
      </c>
      <c r="D59" s="39">
        <v>0.36823846954696782</v>
      </c>
      <c r="G59" s="58">
        <v>0.1763930836880887</v>
      </c>
      <c r="H59" s="55">
        <v>1.7715125411633192</v>
      </c>
      <c r="I59" s="56">
        <v>0.33337349927815896</v>
      </c>
    </row>
    <row r="60" spans="1:9">
      <c r="A60" s="47">
        <v>0.17167128203276683</v>
      </c>
      <c r="B60" s="37">
        <v>5.9000000000000045E-2</v>
      </c>
      <c r="C60" s="38">
        <v>1.9880058893478068</v>
      </c>
      <c r="D60" s="39">
        <v>0.37006616920853319</v>
      </c>
      <c r="G60" s="58">
        <v>0.16853637517856712</v>
      </c>
      <c r="H60" s="55">
        <v>1.9205277357315689</v>
      </c>
      <c r="I60" s="56">
        <v>0.34855868039015081</v>
      </c>
    </row>
    <row r="61" spans="1:9">
      <c r="A61" s="47">
        <v>0.17189654250215702</v>
      </c>
      <c r="B61" s="37">
        <v>6.0000000000000046E-2</v>
      </c>
      <c r="C61" s="38">
        <v>1.992070892371014</v>
      </c>
      <c r="D61" s="39">
        <v>0.37147269653799664</v>
      </c>
      <c r="G61" s="58">
        <v>0.17597203187739541</v>
      </c>
      <c r="H61" s="55">
        <v>2.017628628228294</v>
      </c>
      <c r="I61" s="56">
        <v>0.38671114947305307</v>
      </c>
    </row>
    <row r="62" spans="1:9">
      <c r="A62" s="47">
        <v>0.17228854543192984</v>
      </c>
      <c r="B62" s="37">
        <v>6.1000000000000047E-2</v>
      </c>
      <c r="C62" s="38">
        <v>1.9989386134527778</v>
      </c>
      <c r="D62" s="39">
        <v>0.37388366381131966</v>
      </c>
      <c r="G62" s="58">
        <v>0.16889386969136755</v>
      </c>
      <c r="H62" s="55">
        <v>1.9296226903927876</v>
      </c>
      <c r="I62" s="56">
        <v>0.35126543070266036</v>
      </c>
    </row>
    <row r="63" spans="1:9">
      <c r="A63" s="47">
        <v>0.1725422477601517</v>
      </c>
      <c r="B63" s="37">
        <v>6.2000000000000048E-2</v>
      </c>
      <c r="C63" s="38">
        <v>2.0032630332197447</v>
      </c>
      <c r="D63" s="39">
        <v>0.37542316214221438</v>
      </c>
      <c r="G63" s="58">
        <v>0.16919997635053097</v>
      </c>
      <c r="H63" s="55">
        <v>1.9361737096362204</v>
      </c>
      <c r="I63" s="56">
        <v>0.35333180490522009</v>
      </c>
    </row>
    <row r="64" spans="1:9">
      <c r="A64" s="47">
        <v>0.17288341817209352</v>
      </c>
      <c r="B64" s="37">
        <v>6.3000000000000042E-2</v>
      </c>
      <c r="C64" s="38">
        <v>2.0089588365472864</v>
      </c>
      <c r="D64" s="39">
        <v>0.37747376513332842</v>
      </c>
      <c r="G64" s="58">
        <v>0.17610611731853543</v>
      </c>
      <c r="H64" s="55">
        <v>2.022377929988632</v>
      </c>
      <c r="I64" s="56">
        <v>0.38809781305866098</v>
      </c>
    </row>
    <row r="65" spans="1:9">
      <c r="A65" s="47">
        <v>0.17324965787225333</v>
      </c>
      <c r="B65" s="37">
        <v>6.4000000000000043E-2</v>
      </c>
      <c r="C65" s="38">
        <v>2.0148439760494381</v>
      </c>
      <c r="D65" s="39">
        <v>0.37963278824397739</v>
      </c>
      <c r="G65" s="58">
        <v>0.16939771479732246</v>
      </c>
      <c r="H65" s="55">
        <v>1.9412967578421501</v>
      </c>
      <c r="I65" s="56">
        <v>0.35485945275928543</v>
      </c>
    </row>
    <row r="66" spans="1:9">
      <c r="A66" s="47">
        <v>0.17361811891814294</v>
      </c>
      <c r="B66" s="37">
        <v>6.5000000000000044E-2</v>
      </c>
      <c r="C66" s="38">
        <v>2.0206489611560539</v>
      </c>
      <c r="D66" s="39">
        <v>0.38178755289304189</v>
      </c>
      <c r="G66" s="58">
        <v>0.16982055414237252</v>
      </c>
      <c r="H66" s="55">
        <v>1.9506902815423954</v>
      </c>
      <c r="I66" s="56">
        <v>0.35780726501394322</v>
      </c>
    </row>
    <row r="67" spans="1:9">
      <c r="A67" s="47">
        <v>0.17387509826905512</v>
      </c>
      <c r="B67" s="37">
        <v>6.6000000000000045E-2</v>
      </c>
      <c r="C67" s="38">
        <v>2.0245626128354024</v>
      </c>
      <c r="D67" s="39">
        <v>0.38326527429293988</v>
      </c>
      <c r="G67" s="58">
        <v>0.17116790515968305</v>
      </c>
      <c r="H67" s="55">
        <v>1.9772849805171899</v>
      </c>
      <c r="I67" s="56">
        <v>0.36658244644311577</v>
      </c>
    </row>
    <row r="68" spans="1:9">
      <c r="A68" s="47">
        <v>0.17411120158100668</v>
      </c>
      <c r="B68" s="37">
        <v>6.7000000000000046E-2</v>
      </c>
      <c r="C68" s="38">
        <v>2.0280487586073566</v>
      </c>
      <c r="D68" s="39">
        <v>0.38460198246931609</v>
      </c>
      <c r="G68" s="58">
        <v>0.17163548313207055</v>
      </c>
      <c r="H68" s="55">
        <v>1.9683570279823086</v>
      </c>
      <c r="I68" s="56">
        <v>0.3657298708733081</v>
      </c>
    </row>
    <row r="69" spans="1:9">
      <c r="A69" s="47">
        <v>0.174223175821832</v>
      </c>
      <c r="B69" s="37">
        <v>6.8000000000000047E-2</v>
      </c>
      <c r="C69" s="38">
        <v>2.0296743970256013</v>
      </c>
      <c r="D69" s="39">
        <v>0.3852308614834361</v>
      </c>
      <c r="G69" s="58">
        <v>0.17639264456243042</v>
      </c>
      <c r="H69" s="55">
        <v>2.0316617791500393</v>
      </c>
      <c r="I69" s="56">
        <v>0.39087528402451643</v>
      </c>
    </row>
    <row r="70" spans="1:9">
      <c r="A70" s="47">
        <v>0.17445496948366324</v>
      </c>
      <c r="B70" s="37">
        <v>6.9000000000000047E-2</v>
      </c>
      <c r="C70" s="38">
        <v>2.0329346011211133</v>
      </c>
      <c r="D70" s="39">
        <v>0.38651148871344065</v>
      </c>
      <c r="G70" s="58">
        <v>0.17066187238476926</v>
      </c>
      <c r="H70" s="55">
        <v>1.9686785023808737</v>
      </c>
      <c r="I70" s="56">
        <v>0.3635673100539849</v>
      </c>
    </row>
    <row r="71" spans="1:9">
      <c r="A71" s="47">
        <v>0.17466025095025706</v>
      </c>
      <c r="B71" s="37">
        <v>7.0000000000000048E-2</v>
      </c>
      <c r="C71" s="38">
        <v>2.0357722599576724</v>
      </c>
      <c r="D71" s="39">
        <v>0.38763694387919356</v>
      </c>
      <c r="G71" s="58">
        <v>0.1712122654326711</v>
      </c>
      <c r="H71" s="55">
        <v>1.9781229838202128</v>
      </c>
      <c r="I71" s="56">
        <v>0.36686556600933673</v>
      </c>
    </row>
    <row r="72" spans="1:9">
      <c r="A72" s="47">
        <v>0.17482993625984222</v>
      </c>
      <c r="B72" s="37">
        <v>7.1000000000000049E-2</v>
      </c>
      <c r="C72" s="38">
        <v>2.0380415439533315</v>
      </c>
      <c r="D72" s="39">
        <v>0.38855184671990961</v>
      </c>
      <c r="G72" s="58">
        <v>0.1763362200994818</v>
      </c>
      <c r="H72" s="55">
        <v>2.0428091251686578</v>
      </c>
      <c r="I72" s="56">
        <v>0.39325726428483621</v>
      </c>
    </row>
    <row r="73" spans="1:9">
      <c r="A73" s="47">
        <v>0.17510672132806659</v>
      </c>
      <c r="B73" s="37">
        <v>7.200000000000005E-2</v>
      </c>
      <c r="C73" s="38">
        <v>2.0416579483561734</v>
      </c>
      <c r="D73" s="39">
        <v>0.39002823811544074</v>
      </c>
      <c r="G73" s="58">
        <v>0.17643103203837041</v>
      </c>
      <c r="H73" s="55">
        <v>2.0445557689204628</v>
      </c>
      <c r="I73" s="56">
        <v>0.39388162837896323</v>
      </c>
    </row>
    <row r="74" spans="1:9">
      <c r="A74" s="47">
        <v>0.17534887411563749</v>
      </c>
      <c r="B74" s="37">
        <v>7.3000000000000051E-2</v>
      </c>
      <c r="C74" s="38">
        <v>2.0447319992152071</v>
      </c>
      <c r="D74" s="39">
        <v>0.39130281682777435</v>
      </c>
      <c r="G74" s="58">
        <v>0.18067376074551245</v>
      </c>
      <c r="H74" s="55">
        <v>1.6396205657360492</v>
      </c>
      <c r="I74" s="56">
        <v>0.31292348469064168</v>
      </c>
    </row>
    <row r="75" spans="1:9">
      <c r="A75" s="47">
        <v>0.17555326210479549</v>
      </c>
      <c r="B75" s="37">
        <v>7.4000000000000052E-2</v>
      </c>
      <c r="C75" s="38">
        <v>2.0472569974779296</v>
      </c>
      <c r="D75" s="39">
        <v>0.39236513628685188</v>
      </c>
      <c r="G75" s="58">
        <v>0.17653788290006611</v>
      </c>
      <c r="H75" s="55">
        <v>1.7747308311793988</v>
      </c>
      <c r="I75" s="56">
        <v>0.33436147837193197</v>
      </c>
    </row>
    <row r="76" spans="1:9">
      <c r="A76" s="47">
        <v>0.17571896827198885</v>
      </c>
      <c r="B76" s="37">
        <v>7.5000000000000053E-2</v>
      </c>
      <c r="C76" s="38">
        <v>2.049261897047892</v>
      </c>
      <c r="D76" s="39">
        <v>0.39321831837292098</v>
      </c>
      <c r="G76" s="58">
        <v>0.17655139727112279</v>
      </c>
      <c r="H76" s="55">
        <v>1.7749853710424146</v>
      </c>
      <c r="I76" s="56">
        <v>0.33444384286153328</v>
      </c>
    </row>
    <row r="77" spans="1:9">
      <c r="A77" s="47">
        <v>0.17592592064036627</v>
      </c>
      <c r="B77" s="37">
        <v>7.6000000000000054E-2</v>
      </c>
      <c r="C77" s="38">
        <v>2.0517023350568597</v>
      </c>
      <c r="D77" s="39">
        <v>0.39427129123409199</v>
      </c>
      <c r="G77" s="58">
        <v>0.18067376074551245</v>
      </c>
      <c r="H77" s="55">
        <v>1.6396205657360492</v>
      </c>
      <c r="I77" s="56">
        <v>0.31292348469064168</v>
      </c>
    </row>
    <row r="78" spans="1:9">
      <c r="A78" s="47">
        <v>0.17611966089792053</v>
      </c>
      <c r="B78" s="37">
        <v>7.7000000000000055E-2</v>
      </c>
      <c r="C78" s="38">
        <v>2.0539418274288481</v>
      </c>
      <c r="D78" s="39">
        <v>0.39524855730512831</v>
      </c>
      <c r="G78" s="58">
        <v>0.1725422477601517</v>
      </c>
      <c r="H78" s="55">
        <v>2.0032630332197447</v>
      </c>
      <c r="I78" s="56">
        <v>0.37542316214221438</v>
      </c>
    </row>
    <row r="79" spans="1:9">
      <c r="A79" s="47">
        <v>0.1764487163654227</v>
      </c>
      <c r="B79" s="37">
        <v>7.8000000000000055E-2</v>
      </c>
      <c r="C79" s="38">
        <v>2.0576175302614446</v>
      </c>
      <c r="D79" s="39">
        <v>0.39688311781354169</v>
      </c>
      <c r="G79" s="58">
        <v>0.17277213839452399</v>
      </c>
      <c r="H79" s="55">
        <v>2.007116675261456</v>
      </c>
      <c r="I79" s="56">
        <v>0.37680753765383534</v>
      </c>
    </row>
    <row r="80" spans="1:9">
      <c r="A80" s="47">
        <v>0.17671693091844576</v>
      </c>
      <c r="B80" s="37">
        <v>7.9000000000000056E-2</v>
      </c>
      <c r="C80" s="38">
        <v>2.0605389374620171</v>
      </c>
      <c r="D80" s="39">
        <v>0.39820185291236854</v>
      </c>
      <c r="G80" s="58">
        <v>0.17319355590452057</v>
      </c>
      <c r="H80" s="55">
        <v>2.0138601781132293</v>
      </c>
      <c r="I80" s="56">
        <v>0.37928342017223016</v>
      </c>
    </row>
    <row r="81" spans="1:9">
      <c r="A81" s="47">
        <v>0.17689089524589097</v>
      </c>
      <c r="B81" s="37">
        <v>8.0000000000000057E-2</v>
      </c>
      <c r="C81" s="38">
        <v>2.0623917977940081</v>
      </c>
      <c r="D81" s="39">
        <v>0.39904921158461071</v>
      </c>
      <c r="G81" s="58">
        <v>0.17367597512822175</v>
      </c>
      <c r="H81" s="55">
        <v>2.0215341647476723</v>
      </c>
      <c r="I81" s="56">
        <v>0.38212081780604623</v>
      </c>
    </row>
    <row r="82" spans="1:9">
      <c r="A82" s="47">
        <v>0.17723844680859502</v>
      </c>
      <c r="B82" s="37">
        <v>8.1000000000000058E-2</v>
      </c>
      <c r="C82" s="38">
        <v>2.0659687892507277</v>
      </c>
      <c r="D82" s="39">
        <v>0.40071725776272404</v>
      </c>
      <c r="G82" s="58">
        <v>0.17394680712908284</v>
      </c>
      <c r="H82" s="55">
        <v>2.0255899691395016</v>
      </c>
      <c r="I82" s="56">
        <v>0.38366395629231387</v>
      </c>
    </row>
    <row r="83" spans="1:9">
      <c r="A83" s="47">
        <v>0.17733907989123021</v>
      </c>
      <c r="B83" s="37">
        <v>8.2000000000000059E-2</v>
      </c>
      <c r="C83" s="38">
        <v>2.0669789668423544</v>
      </c>
      <c r="D83" s="39">
        <v>0.40119527805677513</v>
      </c>
      <c r="G83" s="58">
        <v>0.17405092095868802</v>
      </c>
      <c r="H83" s="55">
        <v>2.0271289132187897</v>
      </c>
      <c r="I83" s="56">
        <v>0.38425379723815056</v>
      </c>
    </row>
    <row r="84" spans="1:9">
      <c r="A84" s="47">
        <v>0.17761330527371566</v>
      </c>
      <c r="B84" s="37">
        <v>8.300000000000006E-2</v>
      </c>
      <c r="C84" s="38">
        <v>2.0696848666120475</v>
      </c>
      <c r="D84" s="39">
        <v>0.40248910260950344</v>
      </c>
      <c r="G84" s="58">
        <v>0.17420832078078607</v>
      </c>
      <c r="H84" s="55">
        <v>2.0293804240545557</v>
      </c>
      <c r="I84" s="56">
        <v>0.38512999043594709</v>
      </c>
    </row>
    <row r="85" spans="1:9">
      <c r="A85" s="47">
        <v>0.1778614570672723</v>
      </c>
      <c r="B85" s="37">
        <v>8.4000000000000061E-2</v>
      </c>
      <c r="C85" s="38">
        <v>2.0720718969127669</v>
      </c>
      <c r="D85" s="39">
        <v>0.40364818606007691</v>
      </c>
      <c r="G85" s="58">
        <v>0.1745324917832205</v>
      </c>
      <c r="H85" s="55">
        <v>2.0338385817240954</v>
      </c>
      <c r="I85" s="56">
        <v>0.38689888419165519</v>
      </c>
    </row>
    <row r="86" spans="1:9">
      <c r="A86" s="47">
        <v>0.17798623593427076</v>
      </c>
      <c r="B86" s="37">
        <v>8.5000000000000062E-2</v>
      </c>
      <c r="C86" s="38">
        <v>2.073238182482513</v>
      </c>
      <c r="D86" s="39">
        <v>0.40422404597825023</v>
      </c>
      <c r="G86" s="58">
        <v>0.17462637441956397</v>
      </c>
      <c r="H86" s="55">
        <v>2.0347966523627425</v>
      </c>
      <c r="I86" s="56">
        <v>0.38733789536957319</v>
      </c>
    </row>
    <row r="87" spans="1:9">
      <c r="A87" s="47">
        <v>0.17834233831912361</v>
      </c>
      <c r="B87" s="37">
        <v>8.6000000000000063E-2</v>
      </c>
      <c r="C87" s="38">
        <v>2.0765004559821834</v>
      </c>
      <c r="D87" s="39">
        <v>0.40585525225311359</v>
      </c>
      <c r="G87" s="58">
        <v>0.17482431555065325</v>
      </c>
      <c r="H87" s="55">
        <v>2.0373776593662152</v>
      </c>
      <c r="I87" s="56">
        <v>0.38838995496518702</v>
      </c>
    </row>
    <row r="88" spans="1:9">
      <c r="A88" s="47">
        <v>0.178604951396786</v>
      </c>
      <c r="B88" s="37">
        <v>8.7000000000000063E-2</v>
      </c>
      <c r="C88" s="38">
        <v>2.0788534435151171</v>
      </c>
      <c r="D88" s="39">
        <v>0.40704882356998184</v>
      </c>
      <c r="G88" s="58">
        <v>0.17502773538649041</v>
      </c>
      <c r="H88" s="55">
        <v>2.0399808517590445</v>
      </c>
      <c r="I88" s="56">
        <v>0.38946211000621567</v>
      </c>
    </row>
    <row r="89" spans="1:9">
      <c r="A89" s="47">
        <v>0.17886552520646148</v>
      </c>
      <c r="B89" s="37">
        <v>8.8000000000000064E-2</v>
      </c>
      <c r="C89" s="38">
        <v>2.0811068953993037</v>
      </c>
      <c r="D89" s="39">
        <v>0.40821662867054265</v>
      </c>
      <c r="G89" s="58">
        <v>0.17539512540204671</v>
      </c>
      <c r="H89" s="55">
        <v>2.0451812259423181</v>
      </c>
      <c r="I89" s="56">
        <v>0.3915155985861436</v>
      </c>
    </row>
    <row r="90" spans="1:9">
      <c r="A90" s="47">
        <v>0.17912465270924804</v>
      </c>
      <c r="B90" s="37">
        <v>8.9000000000000065E-2</v>
      </c>
      <c r="C90" s="38">
        <v>2.0833039199761099</v>
      </c>
      <c r="D90" s="39">
        <v>0.40936997081258819</v>
      </c>
      <c r="G90" s="58">
        <v>0.17564463983055512</v>
      </c>
      <c r="H90" s="55">
        <v>2.0483178901746197</v>
      </c>
      <c r="I90" s="56">
        <v>0.39282540044697489</v>
      </c>
    </row>
    <row r="91" spans="1:9">
      <c r="A91" s="47">
        <v>0.17951066724991427</v>
      </c>
      <c r="B91" s="37">
        <v>9.0000000000000066E-2</v>
      </c>
      <c r="C91" s="38">
        <v>2.0864725999007798</v>
      </c>
      <c r="D91" s="39">
        <v>0.41106783771169764</v>
      </c>
      <c r="G91" s="58">
        <v>0.17544851653240134</v>
      </c>
      <c r="H91" s="55">
        <v>2.0458635033059216</v>
      </c>
      <c r="I91" s="56">
        <v>0.3917981152222334</v>
      </c>
    </row>
    <row r="92" spans="1:9">
      <c r="A92" s="47">
        <v>0.17971820311334241</v>
      </c>
      <c r="B92" s="37">
        <v>9.1000000000000067E-2</v>
      </c>
      <c r="C92" s="38">
        <v>2.0881184245047026</v>
      </c>
      <c r="D92" s="39">
        <v>0.41196912793405938</v>
      </c>
      <c r="G92" s="58">
        <v>0.17587256242400717</v>
      </c>
      <c r="H92" s="55">
        <v>2.0510734546908265</v>
      </c>
      <c r="I92" s="56">
        <v>0.39399969834161186</v>
      </c>
    </row>
    <row r="93" spans="1:9">
      <c r="A93" s="47">
        <v>0.17998348108398687</v>
      </c>
      <c r="B93" s="37">
        <v>9.2000000000000068E-2</v>
      </c>
      <c r="C93" s="38">
        <v>2.0901739493450031</v>
      </c>
      <c r="D93" s="39">
        <v>0.41311181133661701</v>
      </c>
      <c r="G93" s="58">
        <v>0.17611966089792053</v>
      </c>
      <c r="H93" s="55">
        <v>2.0539418274288481</v>
      </c>
      <c r="I93" s="56">
        <v>0.39524855730512831</v>
      </c>
    </row>
    <row r="94" spans="1:9">
      <c r="A94" s="47">
        <v>0.18012075139817463</v>
      </c>
      <c r="B94" s="37">
        <v>9.3000000000000069E-2</v>
      </c>
      <c r="C94" s="38">
        <v>2.0912293510917608</v>
      </c>
      <c r="D94" s="39">
        <v>0.41370198950009618</v>
      </c>
      <c r="G94" s="58">
        <v>0.17652531623780243</v>
      </c>
      <c r="H94" s="55">
        <v>2.0584492493656263</v>
      </c>
      <c r="I94" s="56">
        <v>0.39725884437033598</v>
      </c>
    </row>
    <row r="95" spans="1:9">
      <c r="A95" s="47">
        <v>0.18045298358877315</v>
      </c>
      <c r="B95" s="37">
        <v>9.400000000000007E-2</v>
      </c>
      <c r="C95" s="38">
        <v>2.0937192800215798</v>
      </c>
      <c r="D95" s="39">
        <v>0.41511756165641622</v>
      </c>
      <c r="G95" s="58">
        <v>0.17663408082510013</v>
      </c>
      <c r="H95" s="55">
        <v>2.0594099666766268</v>
      </c>
      <c r="I95" s="56">
        <v>0.39774273112540737</v>
      </c>
    </row>
    <row r="96" spans="1:9">
      <c r="A96" s="47">
        <v>0.18069176219047689</v>
      </c>
      <c r="B96" s="37">
        <v>9.500000000000007E-2</v>
      </c>
      <c r="C96" s="38">
        <v>2.0954404962374369</v>
      </c>
      <c r="D96" s="39">
        <v>0.41612084731135157</v>
      </c>
      <c r="G96" s="58">
        <v>0.17639453157831531</v>
      </c>
      <c r="H96" s="55">
        <v>2.0569803611486224</v>
      </c>
      <c r="I96" s="56">
        <v>0.39660641555268406</v>
      </c>
    </row>
    <row r="97" spans="1:9">
      <c r="A97" s="47">
        <v>0.18093821566817714</v>
      </c>
      <c r="B97" s="37">
        <v>9.6000000000000071E-2</v>
      </c>
      <c r="C97" s="38">
        <v>2.0972063384214756</v>
      </c>
      <c r="D97" s="39">
        <v>0.41715551228239267</v>
      </c>
      <c r="G97" s="58">
        <v>0.17716006035572374</v>
      </c>
      <c r="H97" s="55">
        <v>2.0651331183043373</v>
      </c>
      <c r="I97" s="56">
        <v>0.40033404082292168</v>
      </c>
    </row>
    <row r="98" spans="1:9">
      <c r="A98" s="47">
        <v>0.18126240342624755</v>
      </c>
      <c r="B98" s="37">
        <v>9.7000000000000072E-2</v>
      </c>
      <c r="C98" s="38">
        <v>2.0994504567928045</v>
      </c>
      <c r="D98" s="39">
        <v>0.41850048961116504</v>
      </c>
      <c r="G98" s="58">
        <v>0.17701316945149914</v>
      </c>
      <c r="H98" s="55">
        <v>2.0634461334913534</v>
      </c>
      <c r="I98" s="56">
        <v>0.39958901393070878</v>
      </c>
    </row>
    <row r="99" spans="1:9">
      <c r="A99" s="47">
        <v>0.18159254153895232</v>
      </c>
      <c r="B99" s="37">
        <v>9.8000000000000073E-2</v>
      </c>
      <c r="C99" s="38">
        <v>2.1016666319193686</v>
      </c>
      <c r="D99" s="39">
        <v>0.41985666531577515</v>
      </c>
      <c r="G99" s="58">
        <v>0.17749360496258171</v>
      </c>
      <c r="H99" s="55">
        <v>2.068378662082718</v>
      </c>
      <c r="I99" s="56">
        <v>0.40189538235987254</v>
      </c>
    </row>
    <row r="100" spans="1:9">
      <c r="A100" s="47">
        <v>0.18186460869797227</v>
      </c>
      <c r="B100" s="37">
        <v>9.9000000000000074E-2</v>
      </c>
      <c r="C100" s="38">
        <v>2.1034389615589069</v>
      </c>
      <c r="D100" s="39">
        <v>0.42096359635970537</v>
      </c>
      <c r="G100" s="58">
        <v>0.17779180324171495</v>
      </c>
      <c r="H100" s="55">
        <v>2.0712524706452453</v>
      </c>
      <c r="I100" s="56">
        <v>0.40328834335930752</v>
      </c>
    </row>
    <row r="101" spans="1:9">
      <c r="A101" s="47">
        <v>0.18213800027186755</v>
      </c>
      <c r="B101" s="37">
        <v>0.10000000000000007</v>
      </c>
      <c r="C101" s="38">
        <v>2.1051882608663788</v>
      </c>
      <c r="D101" s="39">
        <v>0.42207026615140331</v>
      </c>
      <c r="G101" s="58">
        <v>0.17761351272385784</v>
      </c>
      <c r="H101" s="55">
        <v>2.0692869079082361</v>
      </c>
      <c r="I101" s="56">
        <v>0.4023984652845809</v>
      </c>
    </row>
    <row r="102" spans="1:9">
      <c r="A102" s="47">
        <v>0.18242899788461275</v>
      </c>
      <c r="B102" s="37">
        <v>0.10100000000000008</v>
      </c>
      <c r="C102" s="38">
        <v>2.1069836466390472</v>
      </c>
      <c r="D102" s="39">
        <v>0.42323437824270616</v>
      </c>
      <c r="G102" s="58">
        <v>0.17827714078145118</v>
      </c>
      <c r="H102" s="55">
        <v>2.0758634307565029</v>
      </c>
      <c r="I102" s="56">
        <v>0.40554711689176304</v>
      </c>
    </row>
    <row r="103" spans="1:9">
      <c r="A103" s="47">
        <v>0.18271503063332695</v>
      </c>
      <c r="B103" s="37">
        <v>0.10200000000000008</v>
      </c>
      <c r="C103" s="38">
        <v>2.1087305029250607</v>
      </c>
      <c r="D103" s="39">
        <v>0.42437632989568619</v>
      </c>
      <c r="G103" s="58">
        <v>0.17669509405911388</v>
      </c>
      <c r="H103" s="55">
        <v>1.7773611171089627</v>
      </c>
      <c r="I103" s="56">
        <v>0.33524859471891832</v>
      </c>
    </row>
    <row r="104" spans="1:9">
      <c r="A104" s="47">
        <v>0.18300812000604116</v>
      </c>
      <c r="B104" s="37">
        <v>0.10300000000000008</v>
      </c>
      <c r="C104" s="38">
        <v>2.1104593964913811</v>
      </c>
      <c r="D104" s="39">
        <v>0.42553385597322202</v>
      </c>
      <c r="G104" s="58">
        <v>0.17843453180722979</v>
      </c>
      <c r="H104" s="55">
        <v>2.0719025785818754</v>
      </c>
      <c r="I104" s="56">
        <v>0.40502357419114898</v>
      </c>
    </row>
    <row r="105" spans="1:9">
      <c r="A105" s="47">
        <v>0.18330216156309476</v>
      </c>
      <c r="B105" s="37">
        <v>0.10400000000000008</v>
      </c>
      <c r="C105" s="38">
        <v>2.1121491255321541</v>
      </c>
      <c r="D105" s="39">
        <v>0.42668638538856873</v>
      </c>
      <c r="G105" s="58">
        <v>0.17849402910739531</v>
      </c>
      <c r="H105" s="55">
        <v>2.0723942559064401</v>
      </c>
      <c r="I105" s="56">
        <v>0.40528379760765199</v>
      </c>
    </row>
    <row r="106" spans="1:9">
      <c r="A106" s="47">
        <v>0.183658567269809</v>
      </c>
      <c r="B106" s="37">
        <v>0.10500000000000008</v>
      </c>
      <c r="C106" s="38">
        <v>2.1141367067443624</v>
      </c>
      <c r="D106" s="39">
        <v>0.42807140251748832</v>
      </c>
      <c r="G106" s="58">
        <v>0.17908677588252675</v>
      </c>
      <c r="H106" s="55">
        <v>2.0817991563276395</v>
      </c>
      <c r="I106" s="56">
        <v>0.40892679682382549</v>
      </c>
    </row>
    <row r="107" spans="1:9">
      <c r="A107" s="47">
        <v>0.1838976385824016</v>
      </c>
      <c r="B107" s="37">
        <v>0.10600000000000008</v>
      </c>
      <c r="C107" s="38">
        <v>2.1154376707234603</v>
      </c>
      <c r="D107" s="39">
        <v>0.42899422868185422</v>
      </c>
      <c r="G107" s="58">
        <v>0.17973133271570352</v>
      </c>
      <c r="H107" s="55">
        <v>2.0873293002185527</v>
      </c>
      <c r="I107" s="56">
        <v>0.41181796113028724</v>
      </c>
    </row>
    <row r="108" spans="1:9">
      <c r="A108" s="47">
        <v>0.18419905631000999</v>
      </c>
      <c r="B108" s="37">
        <v>0.10700000000000008</v>
      </c>
      <c r="C108" s="38">
        <v>2.1170368655784562</v>
      </c>
      <c r="D108" s="39">
        <v>0.43014954404815042</v>
      </c>
      <c r="G108" s="58">
        <v>0.17923556796842122</v>
      </c>
      <c r="H108" s="55">
        <v>2.0829398162308617</v>
      </c>
      <c r="I108" s="56">
        <v>0.40956144550306828</v>
      </c>
    </row>
    <row r="109" spans="1:9">
      <c r="A109" s="47">
        <v>0.18450291499908844</v>
      </c>
      <c r="B109" s="37">
        <v>0.10800000000000008</v>
      </c>
      <c r="C109" s="38">
        <v>2.118606263705058</v>
      </c>
      <c r="D109" s="39">
        <v>0.431305789554288</v>
      </c>
      <c r="G109" s="58">
        <v>0.17931114261595016</v>
      </c>
      <c r="H109" s="55">
        <v>2.0834969371189276</v>
      </c>
      <c r="I109" s="56">
        <v>0.40987887658961086</v>
      </c>
    </row>
    <row r="110" spans="1:9">
      <c r="A110" s="47">
        <v>0.18488724665089173</v>
      </c>
      <c r="B110" s="37">
        <v>0.10900000000000008</v>
      </c>
      <c r="C110" s="38">
        <v>2.120532927675546</v>
      </c>
      <c r="D110" s="39">
        <v>0.43275678015687458</v>
      </c>
      <c r="G110" s="58">
        <v>0.17679006054351909</v>
      </c>
      <c r="H110" s="55">
        <v>2.0506164791936645</v>
      </c>
      <c r="I110" s="56">
        <v>0.3961262105298553</v>
      </c>
    </row>
    <row r="111" spans="1:9">
      <c r="A111" s="47">
        <v>0.18519441513262325</v>
      </c>
      <c r="B111" s="37">
        <v>0.11000000000000008</v>
      </c>
      <c r="C111" s="38">
        <v>2.1220228301862138</v>
      </c>
      <c r="D111" s="39">
        <v>0.43390641070511626</v>
      </c>
      <c r="G111" s="58">
        <v>0.18067376074551245</v>
      </c>
      <c r="H111" s="55">
        <v>1.6396205657360492</v>
      </c>
      <c r="I111" s="56">
        <v>0.31292348469064168</v>
      </c>
    </row>
    <row r="112" spans="1:9">
      <c r="A112" s="47">
        <v>0.18553782571116884</v>
      </c>
      <c r="B112" s="37">
        <v>0.11100000000000008</v>
      </c>
      <c r="C112" s="38">
        <v>2.123653126854165</v>
      </c>
      <c r="D112" s="39">
        <v>0.43518520529150151</v>
      </c>
      <c r="G112" s="58">
        <v>0.18087590266329334</v>
      </c>
      <c r="H112" s="55">
        <v>2.096739555554838</v>
      </c>
      <c r="I112" s="56">
        <v>0.41688897239384559</v>
      </c>
    </row>
    <row r="113" spans="1:9">
      <c r="A113" s="47">
        <v>0.18574593238956383</v>
      </c>
      <c r="B113" s="37">
        <v>0.11200000000000009</v>
      </c>
      <c r="C113" s="38">
        <v>2.1246071596810192</v>
      </c>
      <c r="D113" s="39">
        <v>0.43595295210738461</v>
      </c>
      <c r="G113" s="58">
        <v>0.1810749365390778</v>
      </c>
      <c r="H113" s="55">
        <v>2.0980631056712338</v>
      </c>
      <c r="I113" s="56">
        <v>0.41770126445711186</v>
      </c>
    </row>
    <row r="114" spans="1:9">
      <c r="A114" s="47">
        <v>0.18606117397483901</v>
      </c>
      <c r="B114" s="37">
        <v>0.11300000000000009</v>
      </c>
      <c r="C114" s="38">
        <v>2.1260349674731627</v>
      </c>
      <c r="D114" s="39">
        <v>0.43711320331813264</v>
      </c>
      <c r="G114" s="58">
        <v>0.18116102655516086</v>
      </c>
      <c r="H114" s="55">
        <v>2.0981934182995898</v>
      </c>
      <c r="I114" s="56">
        <v>0.41794864750116201</v>
      </c>
    </row>
    <row r="115" spans="1:9">
      <c r="A115" s="47">
        <v>0.18647368631640648</v>
      </c>
      <c r="B115" s="37">
        <v>0.11400000000000009</v>
      </c>
      <c r="C115" s="38">
        <v>2.1278382995124829</v>
      </c>
      <c r="D115" s="39">
        <v>0.43861821427331904</v>
      </c>
      <c r="G115" s="58">
        <v>0.18072066885893379</v>
      </c>
      <c r="H115" s="55">
        <v>2.0948728929703355</v>
      </c>
      <c r="I115" s="56">
        <v>0.4160600602229545</v>
      </c>
    </row>
    <row r="116" spans="1:9">
      <c r="A116" s="47">
        <v>0.18689494730838763</v>
      </c>
      <c r="B116" s="37">
        <v>0.11500000000000009</v>
      </c>
      <c r="C116" s="38">
        <v>2.129614755382947</v>
      </c>
      <c r="D116" s="39">
        <v>0.44014219507614993</v>
      </c>
      <c r="G116" s="58">
        <v>0.18292137602804304</v>
      </c>
      <c r="H116" s="55">
        <v>2.107689277031962</v>
      </c>
      <c r="I116" s="56">
        <v>0.4246510782818822</v>
      </c>
    </row>
    <row r="117" spans="1:9">
      <c r="A117" s="47">
        <v>0.18713083361947702</v>
      </c>
      <c r="B117" s="37">
        <v>0.11600000000000009</v>
      </c>
      <c r="C117" s="38">
        <v>2.1305781597969826</v>
      </c>
      <c r="D117" s="39">
        <v>0.44098914498165076</v>
      </c>
      <c r="G117" s="58">
        <v>0.17679006054351909</v>
      </c>
      <c r="H117" s="55">
        <v>2.0506164791936645</v>
      </c>
      <c r="I117" s="56">
        <v>0.3961262105298553</v>
      </c>
    </row>
    <row r="118" spans="1:9">
      <c r="A118" s="47">
        <v>0.1874437619482987</v>
      </c>
      <c r="B118" s="37">
        <v>0.11700000000000009</v>
      </c>
      <c r="C118" s="38">
        <v>2.1318391092848974</v>
      </c>
      <c r="D118" s="39">
        <v>0.44210991090229368</v>
      </c>
      <c r="G118" s="58">
        <v>0.18067376074551245</v>
      </c>
      <c r="H118" s="55">
        <v>1.6396205657360492</v>
      </c>
      <c r="I118" s="56">
        <v>0.31292348469064168</v>
      </c>
    </row>
    <row r="119" spans="1:9">
      <c r="A119" s="47">
        <v>0.18775694320512404</v>
      </c>
      <c r="B119" s="37">
        <v>0.11800000000000009</v>
      </c>
      <c r="C119" s="38">
        <v>2.1330609742325262</v>
      </c>
      <c r="D119" s="39">
        <v>0.44322325117111516</v>
      </c>
      <c r="G119" s="58">
        <v>0.18274087540425454</v>
      </c>
      <c r="H119" s="55">
        <v>2.108870447554192</v>
      </c>
      <c r="I119" s="56">
        <v>0.42447533435819862</v>
      </c>
    </row>
    <row r="120" spans="1:9">
      <c r="A120" s="47">
        <v>0.18810125222993701</v>
      </c>
      <c r="B120" s="37">
        <v>0.11900000000000009</v>
      </c>
      <c r="C120" s="38">
        <v>2.1343646214673502</v>
      </c>
      <c r="D120" s="39">
        <v>0.44443920128953729</v>
      </c>
      <c r="G120" s="58">
        <v>0.18231375978382802</v>
      </c>
      <c r="H120" s="55">
        <v>2.1061560641545838</v>
      </c>
      <c r="I120" s="56">
        <v>0.42274538618094493</v>
      </c>
    </row>
    <row r="121" spans="1:9">
      <c r="A121" s="47">
        <v>0.18845934667221043</v>
      </c>
      <c r="B121" s="37">
        <v>0.12000000000000009</v>
      </c>
      <c r="C121" s="38">
        <v>2.1356786983141522</v>
      </c>
      <c r="D121" s="39">
        <v>0.44569538924399743</v>
      </c>
      <c r="G121" s="58">
        <v>0.18249257495969351</v>
      </c>
      <c r="H121" s="55">
        <v>2.1015970129524377</v>
      </c>
      <c r="I121" s="56">
        <v>0.4221122881989352</v>
      </c>
    </row>
    <row r="122" spans="1:9">
      <c r="A122" s="47">
        <v>0.18881124932364846</v>
      </c>
      <c r="B122" s="37">
        <v>0.12100000000000009</v>
      </c>
      <c r="C122" s="38">
        <v>2.1369348408749262</v>
      </c>
      <c r="D122" s="39">
        <v>0.4469229581578229</v>
      </c>
      <c r="G122" s="58">
        <v>0.18067376074551245</v>
      </c>
      <c r="H122" s="55">
        <v>1.6396205657360492</v>
      </c>
      <c r="I122" s="56">
        <v>0.31292348469064168</v>
      </c>
    </row>
    <row r="123" spans="1:9">
      <c r="A123" s="47">
        <v>0.18915490583116568</v>
      </c>
      <c r="B123" s="37">
        <v>0.12200000000000009</v>
      </c>
      <c r="C123" s="38">
        <v>2.1381187056263311</v>
      </c>
      <c r="D123" s="39">
        <v>0.44811280588373514</v>
      </c>
      <c r="G123" s="58">
        <v>0.18362698915323095</v>
      </c>
      <c r="H123" s="55">
        <v>2.113896335885483</v>
      </c>
      <c r="I123" s="56">
        <v>0.42793312231533132</v>
      </c>
    </row>
    <row r="124" spans="1:9">
      <c r="A124" s="47">
        <v>0.18960613869897824</v>
      </c>
      <c r="B124" s="37">
        <v>0.1230000000000001</v>
      </c>
      <c r="C124" s="38">
        <v>2.1396268881315259</v>
      </c>
      <c r="D124" s="39">
        <v>0.44966607788248925</v>
      </c>
      <c r="G124" s="58">
        <v>0.18368645030037856</v>
      </c>
      <c r="H124" s="55">
        <v>2.1136101778987428</v>
      </c>
      <c r="I124" s="56">
        <v>0.42801581276288836</v>
      </c>
    </row>
    <row r="125" spans="1:9">
      <c r="A125" s="47">
        <v>0.18979104772896438</v>
      </c>
      <c r="B125" s="37">
        <v>0.1240000000000001</v>
      </c>
      <c r="C125" s="38">
        <v>2.1402228254683608</v>
      </c>
      <c r="D125" s="39">
        <v>0.45029785517662568</v>
      </c>
      <c r="G125" s="58">
        <v>0.18246594688315598</v>
      </c>
      <c r="H125" s="55">
        <v>2.0924747030598332</v>
      </c>
      <c r="I125" s="56">
        <v>0.41987493938395981</v>
      </c>
    </row>
    <row r="126" spans="1:9">
      <c r="A126" s="47">
        <v>0.19018985954330159</v>
      </c>
      <c r="B126" s="37">
        <v>0.12500000000000008</v>
      </c>
      <c r="C126" s="38">
        <v>2.1414834026596674</v>
      </c>
      <c r="D126" s="39">
        <v>0.45165582070518817</v>
      </c>
      <c r="G126" s="58">
        <v>0.18419905631000999</v>
      </c>
      <c r="H126" s="55">
        <v>2.1170368655784562</v>
      </c>
      <c r="I126" s="56">
        <v>0.43014954404815042</v>
      </c>
    </row>
    <row r="127" spans="1:9">
      <c r="A127" s="47">
        <v>0.19059836265751007</v>
      </c>
      <c r="B127" s="37">
        <v>0.12600000000000008</v>
      </c>
      <c r="C127" s="38">
        <v>2.1427304786603463</v>
      </c>
      <c r="D127" s="39">
        <v>0.45303783511192908</v>
      </c>
      <c r="G127" s="58">
        <v>0.18453752809543134</v>
      </c>
      <c r="H127" s="55">
        <v>2.1186141522281203</v>
      </c>
      <c r="I127" s="56">
        <v>0.43139624178761871</v>
      </c>
    </row>
    <row r="128" spans="1:9">
      <c r="A128" s="47">
        <v>0.19086206281558438</v>
      </c>
      <c r="B128" s="37">
        <v>0.12700000000000009</v>
      </c>
      <c r="C128" s="38">
        <v>2.1435067751475465</v>
      </c>
      <c r="D128" s="39">
        <v>0.45392383954479132</v>
      </c>
      <c r="G128" s="58">
        <v>0.18446117428544362</v>
      </c>
      <c r="H128" s="55">
        <v>2.1162897127153464</v>
      </c>
      <c r="I128" s="56">
        <v>0.4306385054610411</v>
      </c>
    </row>
    <row r="129" spans="1:9">
      <c r="A129" s="47">
        <v>0.19113499907287435</v>
      </c>
      <c r="B129" s="37">
        <v>0.12800000000000009</v>
      </c>
      <c r="C129" s="38">
        <v>2.1442911136752589</v>
      </c>
      <c r="D129" s="39">
        <v>0.45483694246125395</v>
      </c>
      <c r="G129" s="58">
        <v>0.18564476483047843</v>
      </c>
      <c r="H129" s="55">
        <v>2.1212492879535563</v>
      </c>
      <c r="I129" s="56">
        <v>0.43487312805445444</v>
      </c>
    </row>
    <row r="130" spans="1:9">
      <c r="A130" s="47">
        <v>0.1916821204213166</v>
      </c>
      <c r="B130" s="37">
        <v>0.12900000000000009</v>
      </c>
      <c r="C130" s="38">
        <v>2.1458182144232585</v>
      </c>
      <c r="D130" s="39">
        <v>0.45665860677422199</v>
      </c>
      <c r="G130" s="58">
        <v>0.1834784123114237</v>
      </c>
      <c r="H130" s="55">
        <v>2.0975150359241588</v>
      </c>
      <c r="I130" s="56">
        <v>0.42362499336561021</v>
      </c>
    </row>
    <row r="131" spans="1:9">
      <c r="A131" s="47">
        <v>0.19192206913930332</v>
      </c>
      <c r="B131" s="37">
        <v>0.13000000000000009</v>
      </c>
      <c r="C131" s="38">
        <v>2.1464724859931015</v>
      </c>
      <c r="D131" s="39">
        <v>0.45745472829149136</v>
      </c>
      <c r="G131" s="58">
        <v>0.18542904770092061</v>
      </c>
      <c r="H131" s="55">
        <v>2.1231376167574068</v>
      </c>
      <c r="I131" s="56">
        <v>0.43478011437129904</v>
      </c>
    </row>
    <row r="132" spans="1:9">
      <c r="A132" s="47">
        <v>0.19228681029126515</v>
      </c>
      <c r="B132" s="37">
        <v>0.13100000000000009</v>
      </c>
      <c r="C132" s="38">
        <v>2.1474257942896302</v>
      </c>
      <c r="D132" s="39">
        <v>0.45865565388444751</v>
      </c>
      <c r="G132" s="58">
        <v>0.18565063744705679</v>
      </c>
      <c r="H132" s="55">
        <v>2.1241545174567515</v>
      </c>
      <c r="I132" s="56">
        <v>0.43559743875713108</v>
      </c>
    </row>
    <row r="133" spans="1:9">
      <c r="A133" s="47">
        <v>0.19265386784661254</v>
      </c>
      <c r="B133" s="37">
        <v>0.13200000000000009</v>
      </c>
      <c r="C133" s="38">
        <v>2.1483532345195866</v>
      </c>
      <c r="D133" s="39">
        <v>0.45985756488223162</v>
      </c>
      <c r="G133" s="58">
        <v>0.18595246401621068</v>
      </c>
      <c r="H133" s="55">
        <v>2.1255261117801223</v>
      </c>
      <c r="I133" s="56">
        <v>0.43670885685016958</v>
      </c>
    </row>
    <row r="134" spans="1:9">
      <c r="A134" s="47">
        <v>0.19302323232108809</v>
      </c>
      <c r="B134" s="37">
        <v>0.13300000000000009</v>
      </c>
      <c r="C134" s="38">
        <v>2.1492550308207781</v>
      </c>
      <c r="D134" s="39">
        <v>0.4610604620900054</v>
      </c>
      <c r="G134" s="58">
        <v>0.18648581539742359</v>
      </c>
      <c r="H134" s="55">
        <v>2.1276777059508292</v>
      </c>
      <c r="I134" s="56">
        <v>0.43861002270716942</v>
      </c>
    </row>
    <row r="135" spans="1:9">
      <c r="A135" s="47">
        <v>0.1933948942417576</v>
      </c>
      <c r="B135" s="37">
        <v>0.13400000000000009</v>
      </c>
      <c r="C135" s="38">
        <v>2.1501314074425055</v>
      </c>
      <c r="D135" s="39">
        <v>0.46226434631366353</v>
      </c>
      <c r="G135" s="58">
        <v>0.18605485327394033</v>
      </c>
      <c r="H135" s="55">
        <v>2.125175839240641</v>
      </c>
      <c r="I135" s="56">
        <v>0.43688652206249023</v>
      </c>
    </row>
    <row r="136" spans="1:9">
      <c r="A136" s="47">
        <v>0.19378139093111346</v>
      </c>
      <c r="B136" s="37">
        <v>0.13500000000000009</v>
      </c>
      <c r="C136" s="38">
        <v>2.1510173086692905</v>
      </c>
      <c r="D136" s="39">
        <v>0.46351126477203874</v>
      </c>
      <c r="G136" s="58">
        <v>0.18737426713126859</v>
      </c>
      <c r="H136" s="55">
        <v>2.1282449432588075</v>
      </c>
      <c r="I136" s="56">
        <v>0.44104138174327945</v>
      </c>
    </row>
    <row r="137" spans="1:9">
      <c r="A137" s="47">
        <v>0.1941545888717513</v>
      </c>
      <c r="B137" s="37">
        <v>0.13600000000000009</v>
      </c>
      <c r="C137" s="38">
        <v>2.1518302691658748</v>
      </c>
      <c r="D137" s="39">
        <v>0.46470574713840218</v>
      </c>
      <c r="G137" s="58">
        <v>0.17679006054351909</v>
      </c>
      <c r="H137" s="55">
        <v>2.0506164791936645</v>
      </c>
      <c r="I137" s="56">
        <v>0.3961262105298553</v>
      </c>
    </row>
    <row r="138" spans="1:9">
      <c r="A138" s="47">
        <v>0.19459913840567222</v>
      </c>
      <c r="B138" s="37">
        <v>0.13700000000000009</v>
      </c>
      <c r="C138" s="38">
        <v>2.1527820981104888</v>
      </c>
      <c r="D138" s="39">
        <v>0.46612612846513968</v>
      </c>
      <c r="G138" s="58">
        <v>0.17679006054351909</v>
      </c>
      <c r="H138" s="55">
        <v>2.0506164791936645</v>
      </c>
      <c r="I138" s="56">
        <v>0.3961262105298553</v>
      </c>
    </row>
    <row r="139" spans="1:9">
      <c r="A139" s="47">
        <v>0.19485301397202082</v>
      </c>
      <c r="B139" s="37">
        <v>0.13800000000000009</v>
      </c>
      <c r="C139" s="38">
        <v>2.1533019906237842</v>
      </c>
      <c r="D139" s="39">
        <v>0.46693199568082089</v>
      </c>
      <c r="G139" s="58">
        <v>0.17679006054351909</v>
      </c>
      <c r="H139" s="55">
        <v>2.0506164791936645</v>
      </c>
      <c r="I139" s="56">
        <v>0.3961262105298553</v>
      </c>
    </row>
    <row r="140" spans="1:9">
      <c r="A140" s="47">
        <v>0.19504987348194969</v>
      </c>
      <c r="B140" s="37">
        <v>0.1390000000000001</v>
      </c>
      <c r="C140" s="38">
        <v>2.1536920727645721</v>
      </c>
      <c r="D140" s="39">
        <v>0.46755389919133861</v>
      </c>
      <c r="G140" s="58">
        <v>0.17679006054351909</v>
      </c>
      <c r="H140" s="55">
        <v>2.0506164791936645</v>
      </c>
      <c r="I140" s="56">
        <v>0.3961262105298553</v>
      </c>
    </row>
    <row r="141" spans="1:9">
      <c r="A141" s="47">
        <v>0.19563468519789295</v>
      </c>
      <c r="B141" s="37">
        <v>0.1400000000000001</v>
      </c>
      <c r="C141" s="38">
        <v>2.154817843702733</v>
      </c>
      <c r="D141" s="39">
        <v>0.46939488331313517</v>
      </c>
      <c r="G141" s="58">
        <v>0.18615154243478993</v>
      </c>
      <c r="H141" s="55">
        <v>2.1084540694030012</v>
      </c>
      <c r="I141" s="56">
        <v>0.43304333449007126</v>
      </c>
    </row>
    <row r="142" spans="1:9">
      <c r="A142" s="47">
        <v>0.19596611648103024</v>
      </c>
      <c r="B142" s="37">
        <v>0.1410000000000001</v>
      </c>
      <c r="C142" s="38">
        <v>2.1554330057733329</v>
      </c>
      <c r="D142" s="39">
        <v>0.4704336267362732</v>
      </c>
      <c r="G142" s="58">
        <v>0.17679006054351909</v>
      </c>
      <c r="H142" s="55">
        <v>2.0506164791936645</v>
      </c>
      <c r="I142" s="56">
        <v>0.3961262105298553</v>
      </c>
    </row>
    <row r="143" spans="1:9">
      <c r="A143" s="47">
        <v>0.19647454749719917</v>
      </c>
      <c r="B143" s="37">
        <v>0.1420000000000001</v>
      </c>
      <c r="C143" s="38">
        <v>2.1563319774889051</v>
      </c>
      <c r="D143" s="39">
        <v>0.47201723987358002</v>
      </c>
      <c r="G143" s="58">
        <v>0.17679006054351909</v>
      </c>
      <c r="H143" s="55">
        <v>2.0506164791936645</v>
      </c>
      <c r="I143" s="56">
        <v>0.3961262105298553</v>
      </c>
    </row>
    <row r="144" spans="1:9">
      <c r="A144" s="47">
        <v>0.19683559176441423</v>
      </c>
      <c r="B144" s="37">
        <v>0.1430000000000001</v>
      </c>
      <c r="C144" s="38">
        <v>2.1569397893609898</v>
      </c>
      <c r="D144" s="39">
        <v>0.47313507472908989</v>
      </c>
      <c r="G144" s="58">
        <v>0.18502560850103644</v>
      </c>
      <c r="H144" s="55">
        <v>1.8830872326164136</v>
      </c>
      <c r="I144" s="56">
        <v>0.37655079805735014</v>
      </c>
    </row>
    <row r="145" spans="1:9">
      <c r="A145" s="47">
        <v>0.19733741354944856</v>
      </c>
      <c r="B145" s="37">
        <v>0.1440000000000001</v>
      </c>
      <c r="C145" s="38">
        <v>2.1577545084304552</v>
      </c>
      <c r="D145" s="39">
        <v>0.4746826147512222</v>
      </c>
      <c r="G145" s="58">
        <v>0.18502560850103644</v>
      </c>
      <c r="H145" s="55">
        <v>1.8830872326164136</v>
      </c>
      <c r="I145" s="56">
        <v>0.37655079805735014</v>
      </c>
    </row>
    <row r="146" spans="1:9">
      <c r="A146" s="47">
        <v>0.1976364052897388</v>
      </c>
      <c r="B146" s="37">
        <v>0.1450000000000001</v>
      </c>
      <c r="C146" s="38">
        <v>2.1582159628894075</v>
      </c>
      <c r="D146" s="39">
        <v>0.47559927240450772</v>
      </c>
      <c r="G146" s="58">
        <v>0.18502560850103644</v>
      </c>
      <c r="H146" s="55">
        <v>1.8830872326164136</v>
      </c>
      <c r="I146" s="56">
        <v>0.37655079805735014</v>
      </c>
    </row>
    <row r="147" spans="1:9">
      <c r="A147" s="47">
        <v>0.19798507441767854</v>
      </c>
      <c r="B147" s="37">
        <v>0.1460000000000001</v>
      </c>
      <c r="C147" s="38">
        <v>2.1587363976677993</v>
      </c>
      <c r="D147" s="39">
        <v>0.47666441596964093</v>
      </c>
      <c r="G147" s="58">
        <v>0.18067376074551245</v>
      </c>
      <c r="H147" s="55">
        <v>1.6396205657360492</v>
      </c>
      <c r="I147" s="56">
        <v>0.31292348469064168</v>
      </c>
    </row>
    <row r="148" spans="1:9">
      <c r="A148" s="47">
        <v>0.19823632256675139</v>
      </c>
      <c r="B148" s="37">
        <v>0.1470000000000001</v>
      </c>
      <c r="C148" s="38">
        <v>2.159095106371852</v>
      </c>
      <c r="D148" s="39">
        <v>0.47742818187501035</v>
      </c>
      <c r="G148" s="58">
        <v>0.19079826213462403</v>
      </c>
      <c r="H148" s="55">
        <v>2.1433177508229337</v>
      </c>
      <c r="I148" s="56">
        <v>0.45370908959917466</v>
      </c>
    </row>
    <row r="149" spans="1:9">
      <c r="A149" s="47">
        <v>0.19878281782338947</v>
      </c>
      <c r="B149" s="37">
        <v>0.1480000000000001</v>
      </c>
      <c r="C149" s="38">
        <v>2.1598562023132599</v>
      </c>
      <c r="D149" s="39">
        <v>0.47908598340633524</v>
      </c>
      <c r="G149" s="58">
        <v>0.19151576304499485</v>
      </c>
      <c r="H149" s="55">
        <v>2.1453284103984052</v>
      </c>
      <c r="I149" s="56">
        <v>0.45609783394017778</v>
      </c>
    </row>
    <row r="150" spans="1:9">
      <c r="A150" s="47">
        <v>0.19921465232272206</v>
      </c>
      <c r="B150" s="37">
        <v>0.1490000000000001</v>
      </c>
      <c r="C150" s="38">
        <v>2.1604268082540208</v>
      </c>
      <c r="D150" s="39">
        <v>0.48038925440977365</v>
      </c>
      <c r="G150" s="58">
        <v>0.19140055908181908</v>
      </c>
      <c r="H150" s="55">
        <v>2.1438923120915749</v>
      </c>
      <c r="I150" s="56">
        <v>0.45543042174798165</v>
      </c>
    </row>
    <row r="151" spans="1:9">
      <c r="A151" s="47">
        <v>0.19966965992571173</v>
      </c>
      <c r="B151" s="37">
        <v>0.15000000000000011</v>
      </c>
      <c r="C151" s="38">
        <v>2.1609930614619621</v>
      </c>
      <c r="D151" s="39">
        <v>0.48175448830691425</v>
      </c>
      <c r="G151" s="58">
        <v>0.19008048900726116</v>
      </c>
      <c r="H151" s="55">
        <v>2.137801048140652</v>
      </c>
      <c r="I151" s="56">
        <v>0.45044176253467283</v>
      </c>
    </row>
    <row r="152" spans="1:9">
      <c r="A152" s="47">
        <v>0.20001603324003225</v>
      </c>
      <c r="B152" s="37">
        <v>0.15100000000000011</v>
      </c>
      <c r="C152" s="38">
        <v>2.1614013198415458</v>
      </c>
      <c r="D152" s="39">
        <v>0.48278857191203683</v>
      </c>
      <c r="G152" s="58">
        <v>0.19116326313913623</v>
      </c>
      <c r="H152" s="55">
        <v>2.1441431862951159</v>
      </c>
      <c r="I152" s="56">
        <v>0.45487330243033086</v>
      </c>
    </row>
    <row r="153" spans="1:9">
      <c r="A153" s="47">
        <v>0.20049164339128756</v>
      </c>
      <c r="B153" s="37">
        <v>0.15200000000000011</v>
      </c>
      <c r="C153" s="38">
        <v>2.1619383497279903</v>
      </c>
      <c r="D153" s="39">
        <v>0.48420341362790009</v>
      </c>
      <c r="G153" s="58">
        <v>0.1922482471381719</v>
      </c>
      <c r="H153" s="55">
        <v>2.1473068955913317</v>
      </c>
      <c r="I153" s="56">
        <v>0.45852397164250069</v>
      </c>
    </row>
    <row r="154" spans="1:9">
      <c r="A154" s="47">
        <v>0.20072952876584749</v>
      </c>
      <c r="B154" s="37">
        <v>0.15300000000000011</v>
      </c>
      <c r="C154" s="38">
        <v>2.1621955706223139</v>
      </c>
      <c r="D154" s="39">
        <v>0.4849085378568565</v>
      </c>
      <c r="G154" s="58">
        <v>0.19288286817298461</v>
      </c>
      <c r="H154" s="55">
        <v>2.1489004077796263</v>
      </c>
      <c r="I154" s="56">
        <v>0.46060009709094518</v>
      </c>
    </row>
    <row r="155" spans="1:9">
      <c r="A155" s="47">
        <v>0.20104105596302047</v>
      </c>
      <c r="B155" s="37">
        <v>0.15400000000000011</v>
      </c>
      <c r="C155" s="38">
        <v>2.162516608786214</v>
      </c>
      <c r="D155" s="39">
        <v>0.48582819206871108</v>
      </c>
      <c r="G155" s="58">
        <v>0.1933948942417576</v>
      </c>
      <c r="H155" s="55">
        <v>2.1501314074425055</v>
      </c>
      <c r="I155" s="56">
        <v>0.46226434631366353</v>
      </c>
    </row>
    <row r="156" spans="1:9">
      <c r="A156" s="47">
        <v>0.20139515607946246</v>
      </c>
      <c r="B156" s="37">
        <v>0.15500000000000011</v>
      </c>
      <c r="C156" s="38">
        <v>2.1628602598614806</v>
      </c>
      <c r="D156" s="39">
        <v>0.48686846030989717</v>
      </c>
      <c r="G156" s="58">
        <v>0.19378139093111346</v>
      </c>
      <c r="H156" s="55">
        <v>2.1510173086692905</v>
      </c>
      <c r="I156" s="56">
        <v>0.46351126477203874</v>
      </c>
    </row>
    <row r="157" spans="1:9">
      <c r="A157" s="47">
        <v>0.20186019949991296</v>
      </c>
      <c r="B157" s="37">
        <v>0.15600000000000011</v>
      </c>
      <c r="C157" s="38">
        <v>2.163267671908824</v>
      </c>
      <c r="D157" s="39">
        <v>0.48822379247128644</v>
      </c>
      <c r="G157" s="58">
        <v>0.19429157891787074</v>
      </c>
      <c r="H157" s="55">
        <v>2.1520213649046522</v>
      </c>
      <c r="I157" s="56">
        <v>0.46511667658444344</v>
      </c>
    </row>
    <row r="158" spans="1:9">
      <c r="A158" s="47">
        <v>0.20202782876904268</v>
      </c>
      <c r="B158" s="37">
        <v>0.15700000000000011</v>
      </c>
      <c r="C158" s="38">
        <v>2.1634225816697223</v>
      </c>
      <c r="D158" s="39">
        <v>0.488714837175793</v>
      </c>
      <c r="G158" s="58">
        <v>0.19395878892046303</v>
      </c>
      <c r="H158" s="55">
        <v>2.1510920684324542</v>
      </c>
      <c r="I158" s="56">
        <v>0.46399808838204071</v>
      </c>
    </row>
    <row r="159" spans="1:9">
      <c r="A159" s="47">
        <v>0.20237251069388451</v>
      </c>
      <c r="B159" s="37">
        <v>0.15800000000000011</v>
      </c>
      <c r="C159" s="38">
        <v>2.1637033601205764</v>
      </c>
      <c r="D159" s="39">
        <v>0.48971469327830341</v>
      </c>
      <c r="G159" s="58">
        <v>0.19265419775632942</v>
      </c>
      <c r="H159" s="55">
        <v>2.1450111127306779</v>
      </c>
      <c r="I159" s="56">
        <v>0.4590001336937084</v>
      </c>
    </row>
    <row r="160" spans="1:9">
      <c r="A160" s="47">
        <v>0.20276062943619699</v>
      </c>
      <c r="B160" s="37">
        <v>0.15900000000000011</v>
      </c>
      <c r="C160" s="38">
        <v>2.1639958520539611</v>
      </c>
      <c r="D160" s="39">
        <v>0.49083481645650795</v>
      </c>
      <c r="G160" s="58">
        <v>0.19193250882570156</v>
      </c>
      <c r="H160" s="55">
        <v>2.1400797113625405</v>
      </c>
      <c r="I160" s="56">
        <v>0.45584909068805723</v>
      </c>
    </row>
    <row r="161" spans="1:9">
      <c r="A161" s="47">
        <v>0.20317062941737696</v>
      </c>
      <c r="B161" s="37">
        <v>0.16000000000000011</v>
      </c>
      <c r="C161" s="38">
        <v>2.1642833601396307</v>
      </c>
      <c r="D161" s="39">
        <v>0.49201302450449225</v>
      </c>
      <c r="G161" s="58">
        <v>0.19723137557851711</v>
      </c>
      <c r="H161" s="55">
        <v>2.134241304172654</v>
      </c>
      <c r="I161" s="56">
        <v>0.468181328621468</v>
      </c>
    </row>
    <row r="162" spans="1:9">
      <c r="A162" s="47">
        <v>0.20344976635625867</v>
      </c>
      <c r="B162" s="37">
        <v>0.16100000000000012</v>
      </c>
      <c r="C162" s="38">
        <v>2.1644588161250513</v>
      </c>
      <c r="D162" s="39">
        <v>0.49281005746499407</v>
      </c>
      <c r="G162" s="58">
        <v>0.21360138043553234</v>
      </c>
      <c r="H162" s="55">
        <v>1.7436055699016924</v>
      </c>
      <c r="I162" s="56">
        <v>0.40136533388085738</v>
      </c>
    </row>
    <row r="163" spans="1:9">
      <c r="A163" s="47">
        <v>0.20379820977799734</v>
      </c>
      <c r="B163" s="37">
        <v>0.16200000000000012</v>
      </c>
      <c r="C163" s="38">
        <v>2.1646754268049069</v>
      </c>
      <c r="D163" s="39">
        <v>0.49380484051598628</v>
      </c>
      <c r="G163" s="58">
        <v>0.19600355582665285</v>
      </c>
      <c r="H163" s="55">
        <v>2.1554741302484244</v>
      </c>
      <c r="I163" s="56">
        <v>0.47054357129928293</v>
      </c>
    </row>
    <row r="164" spans="1:9">
      <c r="A164" s="47">
        <v>0.20422058913342722</v>
      </c>
      <c r="B164" s="37">
        <v>0.16300000000000012</v>
      </c>
      <c r="C164" s="38">
        <v>2.1649080652165598</v>
      </c>
      <c r="D164" s="39">
        <v>0.49500317463998789</v>
      </c>
      <c r="G164" s="58">
        <v>0.19614015063750845</v>
      </c>
      <c r="H164" s="55">
        <v>2.1555684811491092</v>
      </c>
      <c r="I164" s="56">
        <v>0.47093011882624425</v>
      </c>
    </row>
    <row r="165" spans="1:9">
      <c r="A165" s="47">
        <v>0.20459814048924208</v>
      </c>
      <c r="B165" s="37">
        <v>0.16400000000000012</v>
      </c>
      <c r="C165" s="38">
        <v>2.165095773910247</v>
      </c>
      <c r="D165" s="39">
        <v>0.49606937913050442</v>
      </c>
      <c r="G165" s="58">
        <v>0.19600656668458671</v>
      </c>
      <c r="H165" s="55">
        <v>2.1548684462201257</v>
      </c>
      <c r="I165" s="56">
        <v>0.47039232708682932</v>
      </c>
    </row>
    <row r="166" spans="1:9">
      <c r="A166" s="47">
        <v>0.2048643136337327</v>
      </c>
      <c r="B166" s="37">
        <v>0.16500000000000012</v>
      </c>
      <c r="C166" s="38">
        <v>2.165217268083433</v>
      </c>
      <c r="D166" s="39">
        <v>0.49681840212795469</v>
      </c>
      <c r="G166" s="58">
        <v>0.19259191786354046</v>
      </c>
      <c r="H166" s="55">
        <v>2.1412892576341958</v>
      </c>
      <c r="I166" s="56">
        <v>0.45788201419091012</v>
      </c>
    </row>
    <row r="167" spans="1:9">
      <c r="A167" s="47">
        <v>0.20532230625568904</v>
      </c>
      <c r="B167" s="37">
        <v>0.16600000000000012</v>
      </c>
      <c r="C167" s="38">
        <v>2.1654040043109677</v>
      </c>
      <c r="D167" s="39">
        <v>0.49810167276819506</v>
      </c>
      <c r="G167" s="58">
        <v>0.20583018640357742</v>
      </c>
      <c r="H167" s="55">
        <v>2.1320496735918129</v>
      </c>
      <c r="I167" s="56">
        <v>0.49014783741684886</v>
      </c>
    </row>
    <row r="168" spans="1:9">
      <c r="A168" s="47">
        <v>0.20565766041695466</v>
      </c>
      <c r="B168" s="37">
        <v>0.16700000000000012</v>
      </c>
      <c r="C168" s="38">
        <v>2.1655243067220149</v>
      </c>
      <c r="D168" s="39">
        <v>0.49903725037818014</v>
      </c>
      <c r="G168" s="58">
        <v>0.20583018640357742</v>
      </c>
      <c r="H168" s="55">
        <v>2.1320496735918129</v>
      </c>
      <c r="I168" s="56">
        <v>0.49014783741684886</v>
      </c>
    </row>
    <row r="169" spans="1:9">
      <c r="A169" s="47">
        <v>0.20602116092820455</v>
      </c>
      <c r="B169" s="37">
        <v>0.16800000000000012</v>
      </c>
      <c r="C169" s="38">
        <v>2.1656391079931612</v>
      </c>
      <c r="D169" s="39">
        <v>0.50004746189536964</v>
      </c>
      <c r="G169" s="58">
        <v>0.19790384239451231</v>
      </c>
      <c r="H169" s="55">
        <v>2.1354218574542783</v>
      </c>
      <c r="I169" s="56">
        <v>0.4702534004970822</v>
      </c>
    </row>
    <row r="170" spans="1:9">
      <c r="A170" s="47">
        <v>0.20630942760701232</v>
      </c>
      <c r="B170" s="37">
        <v>0.16900000000000012</v>
      </c>
      <c r="C170" s="38">
        <v>2.1657193614347752</v>
      </c>
      <c r="D170" s="39">
        <v>0.5008459036871753</v>
      </c>
      <c r="G170" s="58">
        <v>0.21360138043553234</v>
      </c>
      <c r="H170" s="55">
        <v>1.7436055699016924</v>
      </c>
      <c r="I170" s="56">
        <v>0.40136533388085738</v>
      </c>
    </row>
    <row r="171" spans="1:9">
      <c r="A171" s="47">
        <v>0.20679120490859138</v>
      </c>
      <c r="B171" s="37">
        <v>0.17000000000000012</v>
      </c>
      <c r="C171" s="38">
        <v>2.1658305039019718</v>
      </c>
      <c r="D171" s="39">
        <v>0.50217451118402567</v>
      </c>
      <c r="G171" s="58">
        <v>0.19840293509015483</v>
      </c>
      <c r="H171" s="55">
        <v>2.1592384929255304</v>
      </c>
      <c r="I171" s="56">
        <v>0.4779096849292459</v>
      </c>
    </row>
    <row r="172" spans="1:9">
      <c r="A172" s="47">
        <v>0.20704200678275142</v>
      </c>
      <c r="B172" s="37">
        <v>0.17100000000000012</v>
      </c>
      <c r="C172" s="38">
        <v>2.1658785707521369</v>
      </c>
      <c r="D172" s="39">
        <v>0.50286369943185361</v>
      </c>
      <c r="G172" s="58">
        <v>0.19933283752229514</v>
      </c>
      <c r="H172" s="55">
        <v>2.160208766443771</v>
      </c>
      <c r="I172" s="56">
        <v>0.4806455825470719</v>
      </c>
    </row>
    <row r="173" spans="1:9">
      <c r="A173" s="47">
        <v>0.20753583713087997</v>
      </c>
      <c r="B173" s="37">
        <v>0.17200000000000013</v>
      </c>
      <c r="C173" s="38">
        <v>2.1659511494654695</v>
      </c>
      <c r="D173" s="39">
        <v>0.50421506337362643</v>
      </c>
      <c r="G173" s="58">
        <v>0.20583018640357742</v>
      </c>
      <c r="H173" s="55">
        <v>2.1320496735918129</v>
      </c>
      <c r="I173" s="56">
        <v>0.49014783741684886</v>
      </c>
    </row>
    <row r="174" spans="1:9">
      <c r="A174" s="47">
        <v>0.20792316301766545</v>
      </c>
      <c r="B174" s="37">
        <v>0.17300000000000013</v>
      </c>
      <c r="C174" s="38">
        <v>2.165989748827962</v>
      </c>
      <c r="D174" s="39">
        <v>0.50527030375383908</v>
      </c>
      <c r="G174" s="58">
        <v>0.21360138043553234</v>
      </c>
      <c r="H174" s="55">
        <v>1.7436055699016924</v>
      </c>
      <c r="I174" s="56">
        <v>0.40136533388085738</v>
      </c>
    </row>
    <row r="175" spans="1:9">
      <c r="A175" s="47">
        <v>0.20826463697402531</v>
      </c>
      <c r="B175" s="37">
        <v>0.17400000000000013</v>
      </c>
      <c r="C175" s="38">
        <v>2.166007568889496</v>
      </c>
      <c r="D175" s="39">
        <v>0.50619637656154248</v>
      </c>
      <c r="G175" s="58">
        <v>0.19957197802547144</v>
      </c>
      <c r="H175" s="55">
        <v>2.1608460023487206</v>
      </c>
      <c r="I175" s="56">
        <v>0.48145441263731814</v>
      </c>
    </row>
    <row r="176" spans="1:9">
      <c r="A176" s="47">
        <v>0.20874265490934718</v>
      </c>
      <c r="B176" s="37">
        <v>0.17500000000000013</v>
      </c>
      <c r="C176" s="38">
        <v>2.166018061586771</v>
      </c>
      <c r="D176" s="39">
        <v>0.50748917248497061</v>
      </c>
      <c r="G176" s="58">
        <v>0.19987294509858433</v>
      </c>
      <c r="H176" s="55">
        <v>2.1601482032317225</v>
      </c>
      <c r="I176" s="56">
        <v>0.48206876624861383</v>
      </c>
    </row>
    <row r="177" spans="1:9">
      <c r="A177" s="47">
        <v>0.20894925593629798</v>
      </c>
      <c r="B177" s="37">
        <v>0.17600000000000013</v>
      </c>
      <c r="C177" s="38">
        <v>2.1660173097665067</v>
      </c>
      <c r="D177" s="39">
        <v>0.50804660105391908</v>
      </c>
      <c r="G177" s="58">
        <v>0.1938350834415703</v>
      </c>
      <c r="H177" s="55">
        <v>2.1428866349334443</v>
      </c>
      <c r="I177" s="56">
        <v>0.46154840277956466</v>
      </c>
    </row>
    <row r="178" spans="1:9">
      <c r="A178" s="47">
        <v>0.20942318984555053</v>
      </c>
      <c r="B178" s="37">
        <v>0.17700000000000013</v>
      </c>
      <c r="C178" s="38">
        <v>2.1659920968619781</v>
      </c>
      <c r="D178" s="39">
        <v>0.50931900172499645</v>
      </c>
      <c r="G178" s="58">
        <v>0.21360138043553234</v>
      </c>
      <c r="H178" s="55">
        <v>1.7436055699016924</v>
      </c>
      <c r="I178" s="56">
        <v>0.40136533388085738</v>
      </c>
    </row>
    <row r="179" spans="1:9">
      <c r="A179" s="47">
        <v>0.20983628367436191</v>
      </c>
      <c r="B179" s="37">
        <v>0.17800000000000013</v>
      </c>
      <c r="C179" s="38">
        <v>2.1659550036869892</v>
      </c>
      <c r="D179" s="39">
        <v>0.51042415753635795</v>
      </c>
      <c r="G179" s="58">
        <v>0.20114812012158101</v>
      </c>
      <c r="H179" s="55">
        <v>2.1625160948160058</v>
      </c>
      <c r="I179" s="56">
        <v>0.48611423933107445</v>
      </c>
    </row>
    <row r="180" spans="1:9">
      <c r="A180" s="47">
        <v>0.21018711807409618</v>
      </c>
      <c r="B180" s="37">
        <v>0.17900000000000013</v>
      </c>
      <c r="C180" s="38">
        <v>2.1659083872443676</v>
      </c>
      <c r="D180" s="39">
        <v>0.51135870241345671</v>
      </c>
      <c r="G180" s="58">
        <v>0.20081436087090787</v>
      </c>
      <c r="H180" s="55">
        <v>2.1619438828477562</v>
      </c>
      <c r="I180" s="56">
        <v>0.48506686530382748</v>
      </c>
    </row>
    <row r="181" spans="1:9">
      <c r="A181" s="47">
        <v>0.21062846667703727</v>
      </c>
      <c r="B181" s="37">
        <v>0.18000000000000013</v>
      </c>
      <c r="C181" s="38">
        <v>2.1658362646304976</v>
      </c>
      <c r="D181" s="39">
        <v>0.51253083610263728</v>
      </c>
      <c r="G181" s="58">
        <v>0.2056138453335381</v>
      </c>
      <c r="H181" s="55">
        <v>2.1318099492274394</v>
      </c>
      <c r="I181" s="56">
        <v>0.48951170863147131</v>
      </c>
    </row>
    <row r="182" spans="1:9">
      <c r="A182" s="47">
        <v>0.2109410128835052</v>
      </c>
      <c r="B182" s="37">
        <v>0.18100000000000013</v>
      </c>
      <c r="C182" s="38">
        <v>2.1657720672321772</v>
      </c>
      <c r="D182" s="39">
        <v>0.51335733756588975</v>
      </c>
      <c r="G182" s="58">
        <v>0.20186655647298712</v>
      </c>
      <c r="H182" s="55">
        <v>2.1632461538081409</v>
      </c>
      <c r="I182" s="56">
        <v>0.48823492482288255</v>
      </c>
    </row>
    <row r="183" spans="1:9">
      <c r="A183" s="47">
        <v>0.21142953347527094</v>
      </c>
      <c r="B183" s="37">
        <v>0.18200000000000013</v>
      </c>
      <c r="C183" s="38">
        <v>2.1656571121316817</v>
      </c>
      <c r="D183" s="39">
        <v>0.51464531378587508</v>
      </c>
      <c r="G183" s="58">
        <v>0.20294315751702596</v>
      </c>
      <c r="H183" s="55">
        <v>2.1639304461468925</v>
      </c>
      <c r="I183" s="56">
        <v>0.49130601457139833</v>
      </c>
    </row>
    <row r="184" spans="1:9">
      <c r="A184" s="47">
        <v>0.21177991086752446</v>
      </c>
      <c r="B184" s="37">
        <v>0.18300000000000013</v>
      </c>
      <c r="C184" s="38">
        <v>2.1655631044416919</v>
      </c>
      <c r="D184" s="39">
        <v>0.51556597572626139</v>
      </c>
      <c r="G184" s="58">
        <v>0.20209641875703377</v>
      </c>
      <c r="H184" s="55">
        <v>2.1557181261271383</v>
      </c>
      <c r="I184" s="56">
        <v>0.48679118611229577</v>
      </c>
    </row>
    <row r="185" spans="1:9">
      <c r="A185" s="47">
        <v>0.21213164476007917</v>
      </c>
      <c r="B185" s="37">
        <v>0.18400000000000014</v>
      </c>
      <c r="C185" s="38">
        <v>2.1654577150818413</v>
      </c>
      <c r="D185" s="39">
        <v>0.51648719493893802</v>
      </c>
      <c r="G185" s="58">
        <v>0.20992487611833521</v>
      </c>
      <c r="H185" s="55">
        <v>2.1084855404253888</v>
      </c>
      <c r="I185" s="56">
        <v>0.49423139752989709</v>
      </c>
    </row>
    <row r="186" spans="1:9">
      <c r="A186" s="47">
        <v>0.212614313016249</v>
      </c>
      <c r="B186" s="37">
        <v>0.18500000000000014</v>
      </c>
      <c r="C186" s="38">
        <v>2.1652912758824132</v>
      </c>
      <c r="D186" s="39">
        <v>0.51774527512078428</v>
      </c>
      <c r="G186" s="58">
        <v>0.20276062943619699</v>
      </c>
      <c r="H186" s="55">
        <v>2.1639958520539611</v>
      </c>
      <c r="I186" s="56">
        <v>0.49083481645650795</v>
      </c>
    </row>
    <row r="187" spans="1:9">
      <c r="A187" s="47">
        <v>0.21282533961082195</v>
      </c>
      <c r="B187" s="37">
        <v>0.18600000000000014</v>
      </c>
      <c r="C187" s="38">
        <v>2.1652093520360323</v>
      </c>
      <c r="D187" s="39">
        <v>0.51829274028596783</v>
      </c>
      <c r="G187" s="58">
        <v>0.20329953037117177</v>
      </c>
      <c r="H187" s="55">
        <v>2.164366616039104</v>
      </c>
      <c r="I187" s="56">
        <v>0.49238165123352884</v>
      </c>
    </row>
    <row r="188" spans="1:9">
      <c r="A188" s="47">
        <v>0.21324411402077237</v>
      </c>
      <c r="B188" s="37">
        <v>0.18700000000000014</v>
      </c>
      <c r="C188" s="38">
        <v>2.1650560168813811</v>
      </c>
      <c r="D188" s="39">
        <v>0.51938203534732441</v>
      </c>
      <c r="G188" s="58">
        <v>0.20380213267948566</v>
      </c>
      <c r="H188" s="55">
        <v>2.1646175797786409</v>
      </c>
      <c r="I188" s="56">
        <v>0.4937993610845739</v>
      </c>
    </row>
    <row r="189" spans="1:9">
      <c r="A189" s="47">
        <v>0.21364187132566426</v>
      </c>
      <c r="B189" s="37">
        <v>0.18800000000000014</v>
      </c>
      <c r="C189" s="38">
        <v>2.1648887251831672</v>
      </c>
      <c r="D189" s="39">
        <v>0.52041050662958632</v>
      </c>
      <c r="G189" s="58">
        <v>0.20957720505531596</v>
      </c>
      <c r="H189" s="55">
        <v>2.1655451836230508</v>
      </c>
      <c r="I189" s="56">
        <v>0.50960675866468419</v>
      </c>
    </row>
    <row r="190" spans="1:9">
      <c r="A190" s="47">
        <v>0.21399972401157497</v>
      </c>
      <c r="B190" s="37">
        <v>0.18900000000000014</v>
      </c>
      <c r="C190" s="38">
        <v>2.1647259519627338</v>
      </c>
      <c r="D190" s="39">
        <v>0.52133233325192885</v>
      </c>
      <c r="G190" s="58">
        <v>0.20959272173085175</v>
      </c>
      <c r="H190" s="55">
        <v>2.1555636903684881</v>
      </c>
      <c r="I190" s="56">
        <v>0.50678785780039193</v>
      </c>
    </row>
    <row r="191" spans="1:9">
      <c r="A191" s="47">
        <v>0.21444210418445864</v>
      </c>
      <c r="B191" s="37">
        <v>0.19000000000000014</v>
      </c>
      <c r="C191" s="38">
        <v>2.1645161094053007</v>
      </c>
      <c r="D191" s="39">
        <v>0.52246952943466618</v>
      </c>
      <c r="G191" s="58">
        <v>0.20992487611833521</v>
      </c>
      <c r="H191" s="55">
        <v>2.1084855404253888</v>
      </c>
      <c r="I191" s="56">
        <v>0.49423139752989709</v>
      </c>
    </row>
    <row r="192" spans="1:9">
      <c r="A192" s="47">
        <v>0.21486997334333502</v>
      </c>
      <c r="B192" s="37">
        <v>0.19100000000000014</v>
      </c>
      <c r="C192" s="38">
        <v>2.1642963934936459</v>
      </c>
      <c r="D192" s="39">
        <v>0.52356463058594871</v>
      </c>
      <c r="G192" s="58">
        <v>0.21750116022024391</v>
      </c>
      <c r="H192" s="55">
        <v>1.9558386417138236</v>
      </c>
      <c r="I192" s="56">
        <v>0.46925978257053402</v>
      </c>
    </row>
    <row r="193" spans="1:9">
      <c r="A193" s="47">
        <v>0.21518327733356024</v>
      </c>
      <c r="B193" s="37">
        <v>0.19200000000000014</v>
      </c>
      <c r="C193" s="38">
        <v>2.1641262564702211</v>
      </c>
      <c r="D193" s="39">
        <v>0.52436385507344729</v>
      </c>
      <c r="G193" s="58">
        <v>0.21360138043553234</v>
      </c>
      <c r="H193" s="55">
        <v>1.7436055699016924</v>
      </c>
      <c r="I193" s="56">
        <v>0.40136533388085738</v>
      </c>
    </row>
    <row r="194" spans="1:9">
      <c r="A194" s="47">
        <v>0.2156625555624383</v>
      </c>
      <c r="B194" s="37">
        <v>0.19300000000000014</v>
      </c>
      <c r="C194" s="38">
        <v>2.1638575673467062</v>
      </c>
      <c r="D194" s="39">
        <v>0.52558409366094971</v>
      </c>
      <c r="G194" s="58">
        <v>0.20532230625568904</v>
      </c>
      <c r="H194" s="55">
        <v>2.1654040043109677</v>
      </c>
      <c r="I194" s="56">
        <v>0.49810167276819506</v>
      </c>
    </row>
    <row r="195" spans="1:9">
      <c r="A195" s="47">
        <v>0.21600563735720524</v>
      </c>
      <c r="B195" s="37">
        <v>0.19400000000000014</v>
      </c>
      <c r="C195" s="38">
        <v>2.163652175239192</v>
      </c>
      <c r="D195" s="39">
        <v>0.5264537699599463</v>
      </c>
      <c r="G195" s="58">
        <v>0.20551883796377979</v>
      </c>
      <c r="H195" s="55">
        <v>2.1654725993748749</v>
      </c>
      <c r="I195" s="56">
        <v>0.49864937483107141</v>
      </c>
    </row>
    <row r="196" spans="1:9">
      <c r="A196" s="47">
        <v>0.21656612850216206</v>
      </c>
      <c r="B196" s="37">
        <v>0.19500000000000015</v>
      </c>
      <c r="C196" s="38">
        <v>2.1633078393956513</v>
      </c>
      <c r="D196" s="39">
        <v>0.5278720462006552</v>
      </c>
      <c r="G196" s="58">
        <v>0.20603120074840087</v>
      </c>
      <c r="H196" s="55">
        <v>2.165630046920012</v>
      </c>
      <c r="I196" s="56">
        <v>0.50007193781253578</v>
      </c>
    </row>
    <row r="197" spans="1:9">
      <c r="A197" s="47">
        <v>0.21683433130316931</v>
      </c>
      <c r="B197" s="37">
        <v>0.19600000000000015</v>
      </c>
      <c r="C197" s="38">
        <v>2.1631289877969064</v>
      </c>
      <c r="D197" s="39">
        <v>0.52854653813115604</v>
      </c>
      <c r="G197" s="58">
        <v>0.20633968356761212</v>
      </c>
      <c r="H197" s="55">
        <v>2.1656105486571038</v>
      </c>
      <c r="I197" s="56">
        <v>0.5008967583142363</v>
      </c>
    </row>
    <row r="198" spans="1:9">
      <c r="A198" s="47">
        <v>0.21725103851222016</v>
      </c>
      <c r="B198" s="37">
        <v>0.19700000000000015</v>
      </c>
      <c r="C198" s="38">
        <v>2.1628493201727257</v>
      </c>
      <c r="D198" s="39">
        <v>0.52959399341065128</v>
      </c>
      <c r="G198" s="58">
        <v>0.20635389924639469</v>
      </c>
      <c r="H198" s="55">
        <v>2.1655900627152604</v>
      </c>
      <c r="I198" s="56">
        <v>0.50092926538770643</v>
      </c>
    </row>
    <row r="199" spans="1:9">
      <c r="A199" s="47">
        <v>0.21766931126437528</v>
      </c>
      <c r="B199" s="37">
        <v>0.19800000000000015</v>
      </c>
      <c r="C199" s="38">
        <v>2.162557783544345</v>
      </c>
      <c r="D199" s="39">
        <v>0.53064216346633453</v>
      </c>
      <c r="G199" s="58">
        <v>0.2074057935114062</v>
      </c>
      <c r="H199" s="55">
        <v>2.1656751642476184</v>
      </c>
      <c r="I199" s="56">
        <v>0.50378641606420094</v>
      </c>
    </row>
    <row r="200" spans="1:9">
      <c r="A200" s="48">
        <v>0.21812495750838989</v>
      </c>
      <c r="B200" s="40">
        <v>0.19900000000000015</v>
      </c>
      <c r="C200" s="41">
        <v>2.1622342904837577</v>
      </c>
      <c r="D200" s="42">
        <v>0.5317822293517378</v>
      </c>
      <c r="G200" s="58">
        <v>0.20791143408574109</v>
      </c>
      <c r="H200" s="55">
        <v>2.1654811802884506</v>
      </c>
      <c r="I200" s="56">
        <v>0.50509427100121251</v>
      </c>
    </row>
    <row r="201" spans="1:9">
      <c r="G201" s="58">
        <v>0.2096104691352938</v>
      </c>
      <c r="H201" s="55">
        <v>2.1655607124250507</v>
      </c>
      <c r="I201" s="56">
        <v>0.50970103495161601</v>
      </c>
    </row>
    <row r="202" spans="1:9">
      <c r="G202" s="58">
        <v>0.20825030244078668</v>
      </c>
      <c r="H202" s="55">
        <v>2.1659682606184627</v>
      </c>
      <c r="I202" s="56">
        <v>0.50614652275185934</v>
      </c>
    </row>
    <row r="203" spans="1:9">
      <c r="G203" s="58">
        <v>0.21360138043553234</v>
      </c>
      <c r="H203" s="55">
        <v>1.7436055699016924</v>
      </c>
      <c r="I203" s="56">
        <v>0.40136533388085738</v>
      </c>
    </row>
    <row r="204" spans="1:9">
      <c r="G204" s="58">
        <v>0.20907820249186448</v>
      </c>
      <c r="H204" s="55">
        <v>2.166008746553469</v>
      </c>
      <c r="I204" s="56">
        <v>0.50839225153739176</v>
      </c>
    </row>
    <row r="205" spans="1:9">
      <c r="G205" s="58">
        <v>0.21360138043553234</v>
      </c>
      <c r="H205" s="55">
        <v>1.7436055699016924</v>
      </c>
      <c r="I205" s="56">
        <v>0.40136533388085738</v>
      </c>
    </row>
    <row r="206" spans="1:9">
      <c r="G206" s="58">
        <v>0.20992487611833521</v>
      </c>
      <c r="H206" s="55">
        <v>2.1084855404253888</v>
      </c>
      <c r="I206" s="56">
        <v>0.49423139752989709</v>
      </c>
    </row>
    <row r="207" spans="1:9">
      <c r="G207" s="58">
        <v>0.21018711807409618</v>
      </c>
      <c r="H207" s="55">
        <v>2.1659083872443676</v>
      </c>
      <c r="I207" s="56">
        <v>0.51135870241345671</v>
      </c>
    </row>
    <row r="208" spans="1:9">
      <c r="G208" s="58">
        <v>0.21360138043553234</v>
      </c>
      <c r="H208" s="55">
        <v>1.7436055699016924</v>
      </c>
      <c r="I208" s="56">
        <v>0.40136533388085738</v>
      </c>
    </row>
    <row r="209" spans="7:9">
      <c r="G209" s="58">
        <v>0.21750116022024391</v>
      </c>
      <c r="H209" s="55">
        <v>1.9558386417138236</v>
      </c>
      <c r="I209" s="56">
        <v>0.46925978257053402</v>
      </c>
    </row>
    <row r="210" spans="7:9">
      <c r="G210" s="58">
        <v>0.20964260115291089</v>
      </c>
      <c r="H210" s="55">
        <v>2.1655570296937134</v>
      </c>
      <c r="I210" s="56">
        <v>0.509786745754641</v>
      </c>
    </row>
    <row r="211" spans="7:9">
      <c r="G211" s="58">
        <v>0.21213164476007917</v>
      </c>
      <c r="H211" s="55">
        <v>2.1654577150818413</v>
      </c>
      <c r="I211" s="56">
        <v>0.51648719493893802</v>
      </c>
    </row>
    <row r="212" spans="7:9">
      <c r="G212" s="58">
        <v>0.212614313016249</v>
      </c>
      <c r="H212" s="55">
        <v>2.1652912758824132</v>
      </c>
      <c r="I212" s="56">
        <v>0.51774527512078428</v>
      </c>
    </row>
    <row r="213" spans="7:9">
      <c r="G213" s="58">
        <v>0.21280779140782458</v>
      </c>
      <c r="H213" s="55">
        <v>2.1652073743049125</v>
      </c>
      <c r="I213" s="56">
        <v>0.51824464156398609</v>
      </c>
    </row>
    <row r="214" spans="7:9">
      <c r="G214" s="58">
        <v>0.21283388653854285</v>
      </c>
      <c r="H214" s="55">
        <v>2.1650971218438873</v>
      </c>
      <c r="I214" s="56">
        <v>0.51828304947877557</v>
      </c>
    </row>
    <row r="215" spans="7:9">
      <c r="G215" s="58">
        <v>0.21583497216258651</v>
      </c>
      <c r="H215" s="55">
        <v>2.1624542474692117</v>
      </c>
      <c r="I215" s="56">
        <v>0.52563398922243665</v>
      </c>
    </row>
    <row r="216" spans="7:9">
      <c r="G216" s="58">
        <v>0.21457719056003732</v>
      </c>
      <c r="H216" s="55">
        <v>2.1592290386846691</v>
      </c>
      <c r="I216" s="56">
        <v>0.52127353189787251</v>
      </c>
    </row>
    <row r="217" spans="7:9">
      <c r="G217" s="58">
        <v>0.21750116022024391</v>
      </c>
      <c r="H217" s="55">
        <v>1.9558386417138236</v>
      </c>
      <c r="I217" s="56">
        <v>0.46925978257053402</v>
      </c>
    </row>
    <row r="218" spans="7:9">
      <c r="G218" s="58">
        <v>0.21444210418445864</v>
      </c>
      <c r="H218" s="55">
        <v>2.1645161094053007</v>
      </c>
      <c r="I218" s="56">
        <v>0.52246952943466618</v>
      </c>
    </row>
    <row r="219" spans="7:9">
      <c r="G219" s="58">
        <v>0.21486758099681635</v>
      </c>
      <c r="H219" s="55">
        <v>2.1642831897436641</v>
      </c>
      <c r="I219" s="56">
        <v>0.52355423323868067</v>
      </c>
    </row>
    <row r="220" spans="7:9">
      <c r="G220" s="58">
        <v>0.21492001676317529</v>
      </c>
      <c r="H220" s="55">
        <v>2.1642185637793956</v>
      </c>
      <c r="I220" s="56">
        <v>0.52367727962280552</v>
      </c>
    </row>
    <row r="221" spans="7:9">
      <c r="G221" s="58">
        <v>0.2162278179719086</v>
      </c>
      <c r="H221" s="55">
        <v>2.1633882021081887</v>
      </c>
      <c r="I221" s="56">
        <v>0.52697791091929602</v>
      </c>
    </row>
    <row r="222" spans="7:9">
      <c r="G222" s="58">
        <v>0.21517945901692692</v>
      </c>
      <c r="H222" s="55">
        <v>2.1589095065113484</v>
      </c>
      <c r="I222" s="56">
        <v>0.52280656897674915</v>
      </c>
    </row>
    <row r="223" spans="7:9">
      <c r="G223" s="58">
        <v>0.21530164879777547</v>
      </c>
      <c r="H223" s="55">
        <v>2.1588302980307619</v>
      </c>
      <c r="I223" s="56">
        <v>0.52311336095390271</v>
      </c>
    </row>
    <row r="224" spans="7:9">
      <c r="G224" s="58">
        <v>0.20992487611833521</v>
      </c>
      <c r="H224" s="55">
        <v>2.1084855404253888</v>
      </c>
      <c r="I224" s="56">
        <v>0.49423139752989709</v>
      </c>
    </row>
    <row r="225" spans="7:9">
      <c r="G225" s="58">
        <v>0.20992487611833521</v>
      </c>
      <c r="H225" s="55">
        <v>2.1084855404253888</v>
      </c>
      <c r="I225" s="56">
        <v>0.49423139752989709</v>
      </c>
    </row>
    <row r="226" spans="7:9">
      <c r="G226" s="58">
        <v>0.20992487611833521</v>
      </c>
      <c r="H226" s="55">
        <v>2.1084855404253888</v>
      </c>
      <c r="I226" s="56">
        <v>0.49423139752989709</v>
      </c>
    </row>
    <row r="227" spans="7:9">
      <c r="G227" s="58">
        <v>0.20992487611833521</v>
      </c>
      <c r="H227" s="55">
        <v>2.1084855404253888</v>
      </c>
      <c r="I227" s="56">
        <v>0.49423139752989709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5</vt:i4>
      </vt:variant>
    </vt:vector>
  </HeadingPairs>
  <TitlesOfParts>
    <vt:vector size="5" baseType="lpstr">
      <vt:lpstr>Portfolio</vt:lpstr>
      <vt:lpstr>Time series</vt:lpstr>
      <vt:lpstr>Returns</vt:lpstr>
      <vt:lpstr>Covariance</vt:lpstr>
      <vt:lpstr>Efficient frontier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cd84097a65d</dc:creator>
  <cp:lastModifiedBy>cd84097a65d</cp:lastModifiedBy>
  <dcterms:created xsi:type="dcterms:W3CDTF">2021-08-22T06:54:10Z</dcterms:created>
  <dcterms:modified xsi:type="dcterms:W3CDTF">2022-01-31T18:56:51Z</dcterms:modified>
</cp:coreProperties>
</file>