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14100" yWindow="77" windowWidth="18214" windowHeight="7954"/>
  </bookViews>
  <sheets>
    <sheet name="Portfolio" sheetId="1" r:id="rId1"/>
    <sheet name="Time series" sheetId="3" r:id="rId2"/>
    <sheet name="Returns" sheetId="4" r:id="rId3"/>
    <sheet name="Covariance" sheetId="2" r:id="rId4"/>
    <sheet name="Efficient frontier" sheetId="6" r:id="rId5"/>
  </sheets>
  <functionGroups/>
  <definedNames>
    <definedName name="solver_adj" localSheetId="0" hidden="1">Portfolio!#REF!</definedName>
    <definedName name="solver_cvg" localSheetId="0" hidden="1">0.0001</definedName>
    <definedName name="solver_drv" localSheetId="0" hidden="1">2</definedName>
    <definedName name="solver_est" localSheetId="0" hidden="1">1</definedName>
    <definedName name="solver_itr" localSheetId="0" hidden="1">100</definedName>
    <definedName name="solver_lhs1" localSheetId="0" hidden="1">Portfolio!#REF!</definedName>
    <definedName name="solver_lhs2" localSheetId="0" hidden="1">Portfolio!#REF!</definedName>
    <definedName name="solver_lin" localSheetId="0" hidden="1">2</definedName>
    <definedName name="solver_neg" localSheetId="0" hidden="1">1</definedName>
    <definedName name="solver_num" localSheetId="0" hidden="1">2</definedName>
    <definedName name="solver_nwt" localSheetId="0" hidden="1">1</definedName>
    <definedName name="solver_opt" localSheetId="0" hidden="1">Portfolio!#REF!</definedName>
    <definedName name="solver_pre" localSheetId="0" hidden="1">0.000001</definedName>
    <definedName name="solver_rel1" localSheetId="0" hidden="1">2</definedName>
    <definedName name="solver_rel2" localSheetId="0" hidden="1">3</definedName>
    <definedName name="solver_rhs1" localSheetId="0" hidden="1">1</definedName>
    <definedName name="solver_rhs2" localSheetId="0" hidden="1">Portfolio!#REF!</definedName>
    <definedName name="solver_scl" localSheetId="0" hidden="1">1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91029"/>
</workbook>
</file>

<file path=xl/calcChain.xml><?xml version="1.0" encoding="utf-8"?>
<calcChain xmlns="http://schemas.openxmlformats.org/spreadsheetml/2006/main">
  <c r="JI58" i="1"/>
  <c r="JH58"/>
  <c r="JG58"/>
  <c r="JF58"/>
  <c r="JE58"/>
  <c r="JD58"/>
  <c r="JC58"/>
  <c r="JB58"/>
  <c r="JA58"/>
  <c r="IZ58"/>
  <c r="IY58"/>
  <c r="IX58"/>
  <c r="IW58"/>
  <c r="IV58"/>
  <c r="IU58"/>
  <c r="IT58"/>
  <c r="IS58"/>
  <c r="IR58"/>
  <c r="IQ58"/>
  <c r="IP58"/>
  <c r="IO58"/>
  <c r="IN58"/>
  <c r="IM58"/>
  <c r="IL58"/>
  <c r="IK58"/>
  <c r="IJ58"/>
  <c r="II58"/>
  <c r="IH58"/>
  <c r="IG58"/>
  <c r="IF58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I58"/>
  <c r="HH58"/>
  <c r="HG58"/>
  <c r="HF58"/>
  <c r="HE58"/>
  <c r="HD58"/>
  <c r="HC58"/>
  <c r="HB58"/>
  <c r="HA58"/>
  <c r="GZ58"/>
  <c r="GY58"/>
  <c r="GX58"/>
  <c r="GW58"/>
  <c r="GV58"/>
  <c r="GU58"/>
  <c r="GT58"/>
  <c r="GS58"/>
  <c r="GR58"/>
  <c r="GQ58"/>
  <c r="GP58"/>
  <c r="GO58"/>
  <c r="GN58"/>
  <c r="GM58"/>
  <c r="GL58"/>
  <c r="GK58"/>
  <c r="GJ58"/>
  <c r="GI58"/>
  <c r="GH58"/>
  <c r="GG58"/>
  <c r="GF58"/>
  <c r="GE58"/>
  <c r="GD58"/>
  <c r="GC58"/>
  <c r="GB58"/>
  <c r="GA58"/>
  <c r="FZ58"/>
  <c r="FY58"/>
  <c r="FX58"/>
  <c r="FW58"/>
  <c r="FV58"/>
  <c r="FU58"/>
  <c r="FT58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5"/>
  <c r="O4"/>
  <c r="O3"/>
  <c r="O2"/>
  <c r="O6"/>
  <c r="B58" l="1"/>
  <c r="Q1"/>
  <c r="A59" s="1"/>
  <c r="JI59" l="1"/>
  <c r="JA59"/>
  <c r="IS59"/>
  <c r="IK59"/>
  <c r="IC59"/>
  <c r="HU59"/>
  <c r="HM59"/>
  <c r="HE59"/>
  <c r="GW59"/>
  <c r="GO59"/>
  <c r="GG59"/>
  <c r="FY59"/>
  <c r="FQ59"/>
  <c r="FI59"/>
  <c r="FA59"/>
  <c r="ES59"/>
  <c r="EK59"/>
  <c r="EC59"/>
  <c r="DU59"/>
  <c r="DM59"/>
  <c r="DE59"/>
  <c r="CW59"/>
  <c r="CO59"/>
  <c r="CG59"/>
  <c r="BY59"/>
  <c r="BQ59"/>
  <c r="BI59"/>
  <c r="BA59"/>
  <c r="AS59"/>
  <c r="AK59"/>
  <c r="U59"/>
  <c r="M59"/>
  <c r="E59"/>
  <c r="FB59"/>
  <c r="JH59"/>
  <c r="IZ59"/>
  <c r="IR59"/>
  <c r="IJ59"/>
  <c r="IB59"/>
  <c r="HT59"/>
  <c r="HL59"/>
  <c r="HD59"/>
  <c r="GV59"/>
  <c r="GN59"/>
  <c r="GF59"/>
  <c r="FX59"/>
  <c r="FP59"/>
  <c r="FH59"/>
  <c r="EZ59"/>
  <c r="ER59"/>
  <c r="EJ59"/>
  <c r="EB59"/>
  <c r="DT59"/>
  <c r="DL59"/>
  <c r="DD59"/>
  <c r="CV59"/>
  <c r="CN59"/>
  <c r="CF59"/>
  <c r="BX59"/>
  <c r="BP59"/>
  <c r="BH59"/>
  <c r="AZ59"/>
  <c r="AR59"/>
  <c r="AJ59"/>
  <c r="T59"/>
  <c r="L59"/>
  <c r="D59"/>
  <c r="ET59"/>
  <c r="F59"/>
  <c r="JG59"/>
  <c r="IY59"/>
  <c r="IQ59"/>
  <c r="II59"/>
  <c r="IA59"/>
  <c r="HS59"/>
  <c r="HK59"/>
  <c r="HC59"/>
  <c r="GU59"/>
  <c r="GM59"/>
  <c r="GE59"/>
  <c r="FW59"/>
  <c r="FO59"/>
  <c r="FG59"/>
  <c r="EY59"/>
  <c r="EQ59"/>
  <c r="EI59"/>
  <c r="EA59"/>
  <c r="DS59"/>
  <c r="DK59"/>
  <c r="DC59"/>
  <c r="CU59"/>
  <c r="CM59"/>
  <c r="CE59"/>
  <c r="BW59"/>
  <c r="BO59"/>
  <c r="BG59"/>
  <c r="AY59"/>
  <c r="AQ59"/>
  <c r="AI59"/>
  <c r="S59"/>
  <c r="K59"/>
  <c r="C59"/>
  <c r="EL59"/>
  <c r="JF59"/>
  <c r="IX59"/>
  <c r="IP59"/>
  <c r="IH59"/>
  <c r="HZ59"/>
  <c r="HR59"/>
  <c r="HJ59"/>
  <c r="HB59"/>
  <c r="GT59"/>
  <c r="GL59"/>
  <c r="GD59"/>
  <c r="FV59"/>
  <c r="FN59"/>
  <c r="FF59"/>
  <c r="EX59"/>
  <c r="EP59"/>
  <c r="EH59"/>
  <c r="DZ59"/>
  <c r="DR59"/>
  <c r="DJ59"/>
  <c r="DB59"/>
  <c r="CT59"/>
  <c r="CL59"/>
  <c r="CD59"/>
  <c r="BV59"/>
  <c r="BN59"/>
  <c r="BF59"/>
  <c r="AX59"/>
  <c r="AP59"/>
  <c r="AH59"/>
  <c r="Z59"/>
  <c r="R59"/>
  <c r="J59"/>
  <c r="CQ59"/>
  <c r="AU59"/>
  <c r="O59"/>
  <c r="JB59"/>
  <c r="HV59"/>
  <c r="GP59"/>
  <c r="FJ59"/>
  <c r="DF59"/>
  <c r="CP59"/>
  <c r="BJ59"/>
  <c r="JE59"/>
  <c r="IW59"/>
  <c r="IO59"/>
  <c r="IG59"/>
  <c r="HY59"/>
  <c r="HQ59"/>
  <c r="HI59"/>
  <c r="HA59"/>
  <c r="GS59"/>
  <c r="GK59"/>
  <c r="GC59"/>
  <c r="FU59"/>
  <c r="FM59"/>
  <c r="FE59"/>
  <c r="EW59"/>
  <c r="EO59"/>
  <c r="EG59"/>
  <c r="DY59"/>
  <c r="DQ59"/>
  <c r="DI59"/>
  <c r="DA59"/>
  <c r="CS59"/>
  <c r="CK59"/>
  <c r="CC59"/>
  <c r="BU59"/>
  <c r="BM59"/>
  <c r="BE59"/>
  <c r="AW59"/>
  <c r="AO59"/>
  <c r="AG59"/>
  <c r="Y59"/>
  <c r="Q59"/>
  <c r="I59"/>
  <c r="CY59"/>
  <c r="IL59"/>
  <c r="HF59"/>
  <c r="FZ59"/>
  <c r="DN59"/>
  <c r="BZ59"/>
  <c r="AT59"/>
  <c r="JD59"/>
  <c r="IV59"/>
  <c r="IN59"/>
  <c r="IF59"/>
  <c r="HX59"/>
  <c r="HP59"/>
  <c r="HH59"/>
  <c r="GZ59"/>
  <c r="GR59"/>
  <c r="GJ59"/>
  <c r="GB59"/>
  <c r="FT59"/>
  <c r="FL59"/>
  <c r="FD59"/>
  <c r="EV59"/>
  <c r="EN59"/>
  <c r="EF59"/>
  <c r="DX59"/>
  <c r="DP59"/>
  <c r="DH59"/>
  <c r="CZ59"/>
  <c r="CR59"/>
  <c r="CJ59"/>
  <c r="CB59"/>
  <c r="BT59"/>
  <c r="BL59"/>
  <c r="BD59"/>
  <c r="AV59"/>
  <c r="AN59"/>
  <c r="AF59"/>
  <c r="X59"/>
  <c r="P59"/>
  <c r="H59"/>
  <c r="CA59"/>
  <c r="G59"/>
  <c r="ID59"/>
  <c r="GH59"/>
  <c r="ED59"/>
  <c r="CH59"/>
  <c r="AL59"/>
  <c r="N59"/>
  <c r="JC59"/>
  <c r="IU59"/>
  <c r="IM59"/>
  <c r="IE59"/>
  <c r="HW59"/>
  <c r="HO59"/>
  <c r="HG59"/>
  <c r="GY59"/>
  <c r="GQ59"/>
  <c r="GI59"/>
  <c r="GA59"/>
  <c r="FS59"/>
  <c r="FK59"/>
  <c r="FC59"/>
  <c r="EU59"/>
  <c r="EM59"/>
  <c r="EE59"/>
  <c r="DW59"/>
  <c r="DO59"/>
  <c r="DG59"/>
  <c r="CI59"/>
  <c r="BS59"/>
  <c r="BK59"/>
  <c r="BC59"/>
  <c r="AM59"/>
  <c r="W59"/>
  <c r="IT59"/>
  <c r="HN59"/>
  <c r="GX59"/>
  <c r="FR59"/>
  <c r="DV59"/>
  <c r="CX59"/>
  <c r="BR59"/>
  <c r="BB59"/>
  <c r="V59"/>
  <c r="B59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5"/>
  <c r="N4"/>
  <c r="N3"/>
  <c r="N2"/>
  <c r="N6"/>
  <c r="C202" i="6" l="1"/>
  <c r="D202" s="1"/>
  <c r="D203" l="1"/>
  <c r="C203"/>
  <c r="B203"/>
  <c r="A203"/>
</calcChain>
</file>

<file path=xl/sharedStrings.xml><?xml version="1.0" encoding="utf-8"?>
<sst xmlns="http://schemas.openxmlformats.org/spreadsheetml/2006/main" count="48" uniqueCount="24">
  <si>
    <t>ASML</t>
  </si>
  <si>
    <t>Sharpe ratio, 1 y</t>
  </si>
  <si>
    <t>HAFX4V</t>
  </si>
  <si>
    <t>A2JKSP</t>
  </si>
  <si>
    <t>Yahoo</t>
  </si>
  <si>
    <t>Variance</t>
  </si>
  <si>
    <t>Sharpe ratio</t>
  </si>
  <si>
    <t>Calculated weights</t>
  </si>
  <si>
    <t>Risk tolerance</t>
  </si>
  <si>
    <t>https://www.ariva.de/next_generation_resources_fund-fonds/historische_kurse</t>
  </si>
  <si>
    <t>https://www.ariva.de/thematica_–_future_mobility_retail_usd_acc-fonds/historische_kurse</t>
  </si>
  <si>
    <t>Sharpe</t>
  </si>
  <si>
    <t>Return / year</t>
  </si>
  <si>
    <t>Maximum of Sharpe ratio:</t>
  </si>
  <si>
    <t>Sorted weights</t>
  </si>
  <si>
    <t>Ticker</t>
  </si>
  <si>
    <t>Return (%), 1 y</t>
  </si>
  <si>
    <t>Lower bound</t>
  </si>
  <si>
    <t>Upper bound</t>
  </si>
  <si>
    <t>Variance / year</t>
  </si>
  <si>
    <t>NVD.DE</t>
  </si>
  <si>
    <t>URL</t>
  </si>
  <si>
    <t>Selection:</t>
  </si>
  <si>
    <t>"Random" points: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</si>
</sst>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164" fontId="0" fillId="0" borderId="0" xfId="1" applyNumberFormat="1" applyFont="1"/>
    <xf numFmtId="0" fontId="0" fillId="0" borderId="0" xfId="1" applyNumberFormat="1" applyFont="1"/>
    <xf numFmtId="9" fontId="0" fillId="0" borderId="0" xfId="1" applyFont="1"/>
    <xf numFmtId="0" fontId="2" fillId="0" borderId="0" xfId="0" applyFont="1"/>
    <xf numFmtId="1" fontId="0" fillId="0" borderId="0" xfId="1" applyNumberFormat="1" applyFont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0" fontId="0" fillId="0" borderId="0" xfId="1" applyNumberFormat="1" applyFont="1"/>
    <xf numFmtId="0" fontId="2" fillId="0" borderId="0" xfId="0" applyNumberFormat="1" applyFont="1"/>
    <xf numFmtId="10" fontId="0" fillId="0" borderId="0" xfId="0" applyNumberFormat="1"/>
    <xf numFmtId="164" fontId="0" fillId="0" borderId="0" xfId="1" applyNumberFormat="1" applyFont="1" applyAlignment="1">
      <alignment horizontal="left"/>
    </xf>
    <xf numFmtId="0" fontId="0" fillId="0" borderId="0" xfId="0" applyFill="1" applyBorder="1" applyAlignment="1">
      <alignment horizontal="left"/>
    </xf>
    <xf numFmtId="164" fontId="0" fillId="3" borderId="3" xfId="1" applyNumberFormat="1" applyFont="1" applyFill="1" applyBorder="1"/>
    <xf numFmtId="164" fontId="0" fillId="3" borderId="0" xfId="1" applyNumberFormat="1" applyFont="1" applyFill="1" applyBorder="1"/>
    <xf numFmtId="0" fontId="0" fillId="3" borderId="0" xfId="0" applyFill="1" applyBorder="1"/>
    <xf numFmtId="0" fontId="0" fillId="3" borderId="1" xfId="0" applyFill="1" applyBorder="1"/>
    <xf numFmtId="164" fontId="0" fillId="3" borderId="2" xfId="1" applyNumberFormat="1" applyFont="1" applyFill="1" applyBorder="1" applyAlignment="1">
      <alignment horizontal="left"/>
    </xf>
    <xf numFmtId="164" fontId="0" fillId="3" borderId="5" xfId="1" applyNumberFormat="1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9" fontId="0" fillId="3" borderId="3" xfId="1" applyFont="1" applyFill="1" applyBorder="1"/>
    <xf numFmtId="9" fontId="0" fillId="3" borderId="0" xfId="1" applyFont="1" applyFill="1" applyBorder="1"/>
    <xf numFmtId="9" fontId="0" fillId="3" borderId="1" xfId="1" applyFont="1" applyFill="1" applyBorder="1"/>
    <xf numFmtId="2" fontId="0" fillId="4" borderId="3" xfId="1" applyNumberFormat="1" applyFont="1" applyFill="1" applyBorder="1"/>
    <xf numFmtId="2" fontId="0" fillId="4" borderId="0" xfId="1" applyNumberFormat="1" applyFont="1" applyFill="1" applyBorder="1"/>
    <xf numFmtId="2" fontId="0" fillId="4" borderId="1" xfId="1" applyNumberFormat="1" applyFont="1" applyFill="1" applyBorder="1"/>
    <xf numFmtId="10" fontId="0" fillId="2" borderId="4" xfId="1" applyNumberFormat="1" applyFont="1" applyFill="1" applyBorder="1"/>
    <xf numFmtId="10" fontId="0" fillId="2" borderId="6" xfId="1" applyNumberFormat="1" applyFont="1" applyFill="1" applyBorder="1"/>
    <xf numFmtId="10" fontId="0" fillId="2" borderId="6" xfId="0" applyNumberFormat="1" applyFill="1" applyBorder="1"/>
    <xf numFmtId="10" fontId="0" fillId="2" borderId="8" xfId="0" applyNumberFormat="1" applyFill="1" applyBorder="1"/>
    <xf numFmtId="2" fontId="0" fillId="4" borderId="0" xfId="0" applyNumberFormat="1" applyFill="1"/>
    <xf numFmtId="164" fontId="0" fillId="4" borderId="0" xfId="1" applyNumberFormat="1" applyFont="1" applyFill="1"/>
    <xf numFmtId="0" fontId="0" fillId="5" borderId="2" xfId="0" applyFill="1" applyBorder="1" applyAlignment="1">
      <alignment horizontal="left"/>
    </xf>
    <xf numFmtId="10" fontId="0" fillId="5" borderId="4" xfId="1" applyNumberFormat="1" applyFont="1" applyFill="1" applyBorder="1"/>
    <xf numFmtId="0" fontId="0" fillId="5" borderId="5" xfId="0" applyFill="1" applyBorder="1" applyAlignment="1">
      <alignment horizontal="left"/>
    </xf>
    <xf numFmtId="10" fontId="0" fillId="5" borderId="6" xfId="1" applyNumberFormat="1" applyFont="1" applyFill="1" applyBorder="1"/>
    <xf numFmtId="0" fontId="0" fillId="5" borderId="5" xfId="0" applyFill="1" applyBorder="1"/>
    <xf numFmtId="0" fontId="0" fillId="5" borderId="7" xfId="0" applyFill="1" applyBorder="1"/>
    <xf numFmtId="10" fontId="0" fillId="5" borderId="8" xfId="1" applyNumberFormat="1" applyFont="1" applyFill="1" applyBorder="1"/>
    <xf numFmtId="164" fontId="0" fillId="4" borderId="3" xfId="1" applyNumberFormat="1" applyFont="1" applyFill="1" applyBorder="1"/>
    <xf numFmtId="2" fontId="0" fillId="4" borderId="3" xfId="0" applyNumberFormat="1" applyFill="1" applyBorder="1"/>
    <xf numFmtId="164" fontId="0" fillId="4" borderId="4" xfId="1" applyNumberFormat="1" applyFont="1" applyFill="1" applyBorder="1"/>
    <xf numFmtId="164" fontId="0" fillId="4" borderId="0" xfId="1" applyNumberFormat="1" applyFont="1" applyFill="1" applyBorder="1"/>
    <xf numFmtId="2" fontId="0" fillId="4" borderId="0" xfId="0" applyNumberFormat="1" applyFill="1" applyBorder="1"/>
    <xf numFmtId="164" fontId="0" fillId="4" borderId="6" xfId="1" applyNumberFormat="1" applyFont="1" applyFill="1" applyBorder="1"/>
    <xf numFmtId="164" fontId="0" fillId="4" borderId="1" xfId="1" applyNumberFormat="1" applyFont="1" applyFill="1" applyBorder="1"/>
    <xf numFmtId="2" fontId="0" fillId="4" borderId="1" xfId="0" applyNumberFormat="1" applyFill="1" applyBorder="1"/>
    <xf numFmtId="164" fontId="0" fillId="4" borderId="8" xfId="1" applyNumberFormat="1" applyFont="1" applyFill="1" applyBorder="1"/>
    <xf numFmtId="2" fontId="0" fillId="5" borderId="0" xfId="0" applyNumberFormat="1" applyFill="1"/>
    <xf numFmtId="0" fontId="0" fillId="5" borderId="0" xfId="0" applyFill="1"/>
    <xf numFmtId="164" fontId="0" fillId="5" borderId="0" xfId="1" applyNumberFormat="1" applyFont="1" applyFill="1"/>
    <xf numFmtId="10" fontId="0" fillId="4" borderId="0" xfId="0" applyNumberFormat="1" applyFill="1"/>
    <xf numFmtId="0" fontId="0" fillId="4" borderId="0" xfId="0" applyFill="1"/>
    <xf numFmtId="10" fontId="0" fillId="4" borderId="2" xfId="1" applyNumberFormat="1" applyFont="1" applyFill="1" applyBorder="1"/>
    <xf numFmtId="10" fontId="0" fillId="4" borderId="5" xfId="1" applyNumberFormat="1" applyFont="1" applyFill="1" applyBorder="1"/>
    <xf numFmtId="10" fontId="0" fillId="4" borderId="7" xfId="1" applyNumberFormat="1" applyFont="1" applyFill="1" applyBorder="1"/>
    <xf numFmtId="11" fontId="0" fillId="0" borderId="0" xfId="0" applyNumberFormat="1"/>
    <xf numFmtId="164" fontId="0" fillId="3" borderId="0" xfId="1" applyNumberFormat="1" applyFont="1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2">
    <cellStyle name="Parastais" xfId="0" builtinId="0"/>
    <cellStyle name="Procenti" xfId="1" builtinId="5"/>
  </cellStyles>
  <dxfs count="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0.20136849060279488</c:v>
                </c:pt>
                <c:pt idx="1">
                  <c:v>0.20137687106529681</c:v>
                </c:pt>
                <c:pt idx="2">
                  <c:v>0.20138864281659735</c:v>
                </c:pt>
                <c:pt idx="3">
                  <c:v>0.20140476437370203</c:v>
                </c:pt>
                <c:pt idx="4">
                  <c:v>0.20142175067010892</c:v>
                </c:pt>
                <c:pt idx="5">
                  <c:v>0.20145064650507197</c:v>
                </c:pt>
                <c:pt idx="6">
                  <c:v>0.20147882054951374</c:v>
                </c:pt>
                <c:pt idx="7">
                  <c:v>0.20151020712564044</c:v>
                </c:pt>
                <c:pt idx="8">
                  <c:v>0.20155868636673901</c:v>
                </c:pt>
                <c:pt idx="9">
                  <c:v>0.20159593704897394</c:v>
                </c:pt>
                <c:pt idx="10">
                  <c:v>0.20165518395857232</c:v>
                </c:pt>
                <c:pt idx="11">
                  <c:v>0.2017080865841136</c:v>
                </c:pt>
                <c:pt idx="12">
                  <c:v>0.20175348239613244</c:v>
                </c:pt>
                <c:pt idx="13">
                  <c:v>0.20182968893877568</c:v>
                </c:pt>
                <c:pt idx="14">
                  <c:v>0.20188036749083751</c:v>
                </c:pt>
                <c:pt idx="15">
                  <c:v>0.20197874152080453</c:v>
                </c:pt>
                <c:pt idx="16">
                  <c:v>0.202026578543472</c:v>
                </c:pt>
                <c:pt idx="17">
                  <c:v>0.20213746461499479</c:v>
                </c:pt>
                <c:pt idx="18">
                  <c:v>0.20222253030104909</c:v>
                </c:pt>
                <c:pt idx="19">
                  <c:v>0.2023056625281556</c:v>
                </c:pt>
                <c:pt idx="20">
                  <c:v>0.20240460695709342</c:v>
                </c:pt>
                <c:pt idx="21">
                  <c:v>0.20248304866422803</c:v>
                </c:pt>
                <c:pt idx="22">
                  <c:v>0.20261053696719666</c:v>
                </c:pt>
                <c:pt idx="23">
                  <c:v>0.2026876395122664</c:v>
                </c:pt>
                <c:pt idx="24">
                  <c:v>0.20279992204388578</c:v>
                </c:pt>
                <c:pt idx="25">
                  <c:v>0.2029277693244971</c:v>
                </c:pt>
                <c:pt idx="26">
                  <c:v>0.20304392416285061</c:v>
                </c:pt>
                <c:pt idx="27">
                  <c:v>0.20317552057533769</c:v>
                </c:pt>
                <c:pt idx="28">
                  <c:v>0.2033207694327594</c:v>
                </c:pt>
                <c:pt idx="29">
                  <c:v>0.203473863429317</c:v>
                </c:pt>
                <c:pt idx="30">
                  <c:v>0.2035931240125691</c:v>
                </c:pt>
                <c:pt idx="31">
                  <c:v>0.20372063628477347</c:v>
                </c:pt>
                <c:pt idx="32">
                  <c:v>0.20388706187555436</c:v>
                </c:pt>
                <c:pt idx="33">
                  <c:v>0.2040475909327894</c:v>
                </c:pt>
                <c:pt idx="34">
                  <c:v>0.20419953646153727</c:v>
                </c:pt>
                <c:pt idx="35">
                  <c:v>0.20436142624342152</c:v>
                </c:pt>
                <c:pt idx="36">
                  <c:v>0.20452104449654715</c:v>
                </c:pt>
                <c:pt idx="37">
                  <c:v>0.2047187666607331</c:v>
                </c:pt>
                <c:pt idx="38">
                  <c:v>0.20486247478196776</c:v>
                </c:pt>
                <c:pt idx="39">
                  <c:v>0.20504915446783323</c:v>
                </c:pt>
                <c:pt idx="40">
                  <c:v>0.20523958190951477</c:v>
                </c:pt>
                <c:pt idx="41">
                  <c:v>0.20542328672490767</c:v>
                </c:pt>
                <c:pt idx="42">
                  <c:v>0.20556728103811683</c:v>
                </c:pt>
                <c:pt idx="43">
                  <c:v>0.20578729066833831</c:v>
                </c:pt>
                <c:pt idx="44">
                  <c:v>0.20599889392428833</c:v>
                </c:pt>
                <c:pt idx="45">
                  <c:v>0.20622797105007049</c:v>
                </c:pt>
                <c:pt idx="46">
                  <c:v>0.20643931447676908</c:v>
                </c:pt>
                <c:pt idx="47">
                  <c:v>0.20665499224170317</c:v>
                </c:pt>
                <c:pt idx="48">
                  <c:v>0.20682897281243276</c:v>
                </c:pt>
                <c:pt idx="49">
                  <c:v>0.20706885852185392</c:v>
                </c:pt>
                <c:pt idx="50">
                  <c:v>0.20730988543351114</c:v>
                </c:pt>
                <c:pt idx="51">
                  <c:v>0.20754895860777095</c:v>
                </c:pt>
                <c:pt idx="52">
                  <c:v>0.20779259919636486</c:v>
                </c:pt>
                <c:pt idx="53">
                  <c:v>0.20804079115233215</c:v>
                </c:pt>
                <c:pt idx="54">
                  <c:v>0.2082940196708537</c:v>
                </c:pt>
                <c:pt idx="55">
                  <c:v>0.20854564598749431</c:v>
                </c:pt>
                <c:pt idx="56">
                  <c:v>0.20879765906605799</c:v>
                </c:pt>
                <c:pt idx="57">
                  <c:v>0.20904867685092784</c:v>
                </c:pt>
                <c:pt idx="58">
                  <c:v>0.20931499958087138</c:v>
                </c:pt>
                <c:pt idx="59">
                  <c:v>0.20956259565920202</c:v>
                </c:pt>
                <c:pt idx="60">
                  <c:v>0.20984236056452241</c:v>
                </c:pt>
                <c:pt idx="61">
                  <c:v>0.2100978345664862</c:v>
                </c:pt>
                <c:pt idx="62">
                  <c:v>0.21038499637278121</c:v>
                </c:pt>
                <c:pt idx="63">
                  <c:v>0.21065192523091825</c:v>
                </c:pt>
                <c:pt idx="64">
                  <c:v>0.21093201520741933</c:v>
                </c:pt>
                <c:pt idx="65">
                  <c:v>0.21125179719759177</c:v>
                </c:pt>
                <c:pt idx="66">
                  <c:v>0.21153665116951456</c:v>
                </c:pt>
                <c:pt idx="67">
                  <c:v>0.21185709806708325</c:v>
                </c:pt>
                <c:pt idx="68">
                  <c:v>0.21222353462764146</c:v>
                </c:pt>
                <c:pt idx="69">
                  <c:v>0.21248810617502525</c:v>
                </c:pt>
                <c:pt idx="70">
                  <c:v>0.21275391648743841</c:v>
                </c:pt>
                <c:pt idx="71">
                  <c:v>0.21305655552544012</c:v>
                </c:pt>
                <c:pt idx="72">
                  <c:v>0.21329394645047767</c:v>
                </c:pt>
                <c:pt idx="73">
                  <c:v>0.21363507739916721</c:v>
                </c:pt>
                <c:pt idx="74">
                  <c:v>0.21408855063671134</c:v>
                </c:pt>
                <c:pt idx="75">
                  <c:v>0.21436661748380914</c:v>
                </c:pt>
                <c:pt idx="76">
                  <c:v>0.21466525699163702</c:v>
                </c:pt>
                <c:pt idx="77">
                  <c:v>0.2150681213973939</c:v>
                </c:pt>
                <c:pt idx="78">
                  <c:v>0.21549173964898455</c:v>
                </c:pt>
                <c:pt idx="79">
                  <c:v>0.21565585345046354</c:v>
                </c:pt>
                <c:pt idx="80">
                  <c:v>0.21606584184211206</c:v>
                </c:pt>
                <c:pt idx="81">
                  <c:v>0.21643759925078376</c:v>
                </c:pt>
                <c:pt idx="82">
                  <c:v>0.21675899458683834</c:v>
                </c:pt>
                <c:pt idx="83">
                  <c:v>0.21708342182095661</c:v>
                </c:pt>
                <c:pt idx="84">
                  <c:v>0.21747395904649111</c:v>
                </c:pt>
                <c:pt idx="85">
                  <c:v>0.21791591623933965</c:v>
                </c:pt>
                <c:pt idx="86">
                  <c:v>0.2182709133014695</c:v>
                </c:pt>
                <c:pt idx="87">
                  <c:v>0.21856629024078311</c:v>
                </c:pt>
                <c:pt idx="88">
                  <c:v>0.21904621852216408</c:v>
                </c:pt>
                <c:pt idx="89">
                  <c:v>0.21929412559173003</c:v>
                </c:pt>
                <c:pt idx="90">
                  <c:v>0.21982131760316662</c:v>
                </c:pt>
                <c:pt idx="91">
                  <c:v>0.2201016441223273</c:v>
                </c:pt>
                <c:pt idx="92">
                  <c:v>0.22054308231320485</c:v>
                </c:pt>
                <c:pt idx="93">
                  <c:v>0.22091203331599391</c:v>
                </c:pt>
                <c:pt idx="94">
                  <c:v>0.22132871876229521</c:v>
                </c:pt>
                <c:pt idx="95">
                  <c:v>0.22172511808477002</c:v>
                </c:pt>
                <c:pt idx="96">
                  <c:v>0.22218256085950269</c:v>
                </c:pt>
                <c:pt idx="97">
                  <c:v>0.2226239926364266</c:v>
                </c:pt>
                <c:pt idx="98">
                  <c:v>0.2230694730534169</c:v>
                </c:pt>
                <c:pt idx="99">
                  <c:v>0.22341622415096979</c:v>
                </c:pt>
                <c:pt idx="100">
                  <c:v>0.22381699579296926</c:v>
                </c:pt>
                <c:pt idx="101">
                  <c:v>0.22419949617218216</c:v>
                </c:pt>
                <c:pt idx="102">
                  <c:v>0.22461609207133934</c:v>
                </c:pt>
                <c:pt idx="103">
                  <c:v>0.22515609333828843</c:v>
                </c:pt>
                <c:pt idx="104">
                  <c:v>0.22552815371148263</c:v>
                </c:pt>
                <c:pt idx="105">
                  <c:v>0.22602625811907825</c:v>
                </c:pt>
                <c:pt idx="106">
                  <c:v>0.22651551516347682</c:v>
                </c:pt>
                <c:pt idx="107">
                  <c:v>0.22686869650526373</c:v>
                </c:pt>
                <c:pt idx="108">
                  <c:v>0.22739398425060112</c:v>
                </c:pt>
                <c:pt idx="109">
                  <c:v>0.22779874896840063</c:v>
                </c:pt>
                <c:pt idx="110">
                  <c:v>0.22825221714779623</c:v>
                </c:pt>
                <c:pt idx="111">
                  <c:v>0.2286706347246267</c:v>
                </c:pt>
                <c:pt idx="112">
                  <c:v>0.22911166688260387</c:v>
                </c:pt>
                <c:pt idx="113">
                  <c:v>0.2296307323348119</c:v>
                </c:pt>
                <c:pt idx="114">
                  <c:v>0.2300299936134455</c:v>
                </c:pt>
                <c:pt idx="115">
                  <c:v>0.2306123355097108</c:v>
                </c:pt>
                <c:pt idx="116">
                  <c:v>0.23105063588389571</c:v>
                </c:pt>
                <c:pt idx="117">
                  <c:v>0.2314552568349115</c:v>
                </c:pt>
                <c:pt idx="118">
                  <c:v>0.23191740031215879</c:v>
                </c:pt>
                <c:pt idx="119">
                  <c:v>0.23237993595243175</c:v>
                </c:pt>
                <c:pt idx="120">
                  <c:v>0.2329419950810952</c:v>
                </c:pt>
                <c:pt idx="121">
                  <c:v>0.23340800604321932</c:v>
                </c:pt>
                <c:pt idx="122">
                  <c:v>0.23389084820965741</c:v>
                </c:pt>
                <c:pt idx="123">
                  <c:v>0.23431675585761325</c:v>
                </c:pt>
                <c:pt idx="124">
                  <c:v>0.23480288174353434</c:v>
                </c:pt>
                <c:pt idx="125">
                  <c:v>0.23541482541365824</c:v>
                </c:pt>
                <c:pt idx="126">
                  <c:v>0.23596939018200397</c:v>
                </c:pt>
                <c:pt idx="127">
                  <c:v>0.23648786560291815</c:v>
                </c:pt>
                <c:pt idx="128">
                  <c:v>0.23686518451529917</c:v>
                </c:pt>
                <c:pt idx="129">
                  <c:v>0.23735890934221493</c:v>
                </c:pt>
                <c:pt idx="130">
                  <c:v>0.23797758991734147</c:v>
                </c:pt>
                <c:pt idx="131">
                  <c:v>0.23844983345366952</c:v>
                </c:pt>
                <c:pt idx="132">
                  <c:v>0.23905672988205676</c:v>
                </c:pt>
                <c:pt idx="133">
                  <c:v>0.23954988706530325</c:v>
                </c:pt>
                <c:pt idx="134">
                  <c:v>0.2400394833674015</c:v>
                </c:pt>
                <c:pt idx="135">
                  <c:v>0.24060768340694358</c:v>
                </c:pt>
                <c:pt idx="136">
                  <c:v>0.24101193581927766</c:v>
                </c:pt>
                <c:pt idx="137">
                  <c:v>0.24171085112454987</c:v>
                </c:pt>
                <c:pt idx="138">
                  <c:v>0.24222750274308397</c:v>
                </c:pt>
                <c:pt idx="139">
                  <c:v>0.24278693235733376</c:v>
                </c:pt>
                <c:pt idx="140">
                  <c:v>0.24319121035268959</c:v>
                </c:pt>
                <c:pt idx="141">
                  <c:v>0.24377715973817682</c:v>
                </c:pt>
                <c:pt idx="142">
                  <c:v>0.24430488883883092</c:v>
                </c:pt>
                <c:pt idx="143">
                  <c:v>0.24479830172894976</c:v>
                </c:pt>
                <c:pt idx="144">
                  <c:v>0.24543797040097481</c:v>
                </c:pt>
                <c:pt idx="145">
                  <c:v>0.2459420127621556</c:v>
                </c:pt>
                <c:pt idx="146">
                  <c:v>0.24642858040623966</c:v>
                </c:pt>
                <c:pt idx="147">
                  <c:v>0.24707075125024433</c:v>
                </c:pt>
                <c:pt idx="148">
                  <c:v>0.24761243818808959</c:v>
                </c:pt>
                <c:pt idx="149">
                  <c:v>0.24837029250172524</c:v>
                </c:pt>
                <c:pt idx="150">
                  <c:v>0.24876371291610525</c:v>
                </c:pt>
                <c:pt idx="151">
                  <c:v>0.24928521268816201</c:v>
                </c:pt>
                <c:pt idx="152">
                  <c:v>0.24982858949554723</c:v>
                </c:pt>
                <c:pt idx="153">
                  <c:v>0.25052033784590066</c:v>
                </c:pt>
                <c:pt idx="154">
                  <c:v>0.25108914353108758</c:v>
                </c:pt>
                <c:pt idx="155">
                  <c:v>0.25168037293971335</c:v>
                </c:pt>
                <c:pt idx="156">
                  <c:v>0.25226761006696952</c:v>
                </c:pt>
                <c:pt idx="157">
                  <c:v>0.25284723244202606</c:v>
                </c:pt>
                <c:pt idx="158">
                  <c:v>0.253449306390642</c:v>
                </c:pt>
                <c:pt idx="159">
                  <c:v>0.25399066277783977</c:v>
                </c:pt>
                <c:pt idx="160">
                  <c:v>0.25466423833716695</c:v>
                </c:pt>
                <c:pt idx="161">
                  <c:v>0.25502406075218464</c:v>
                </c:pt>
                <c:pt idx="162">
                  <c:v>0.25558326062159448</c:v>
                </c:pt>
                <c:pt idx="163">
                  <c:v>0.25627284374578346</c:v>
                </c:pt>
                <c:pt idx="164">
                  <c:v>0.25695605902598156</c:v>
                </c:pt>
                <c:pt idx="165">
                  <c:v>0.25744874252947464</c:v>
                </c:pt>
                <c:pt idx="166">
                  <c:v>0.25820069585609901</c:v>
                </c:pt>
                <c:pt idx="167">
                  <c:v>0.25879778762983136</c:v>
                </c:pt>
                <c:pt idx="168">
                  <c:v>0.25931907498929252</c:v>
                </c:pt>
                <c:pt idx="169">
                  <c:v>0.26010478654031355</c:v>
                </c:pt>
                <c:pt idx="170">
                  <c:v>0.2605553735897288</c:v>
                </c:pt>
                <c:pt idx="171">
                  <c:v>0.26136748000985421</c:v>
                </c:pt>
                <c:pt idx="172">
                  <c:v>0.26186556007936806</c:v>
                </c:pt>
                <c:pt idx="173">
                  <c:v>0.26236595383048289</c:v>
                </c:pt>
                <c:pt idx="174">
                  <c:v>0.26302255680968828</c:v>
                </c:pt>
                <c:pt idx="175">
                  <c:v>0.26379763093714559</c:v>
                </c:pt>
                <c:pt idx="176">
                  <c:v>0.26417102878852489</c:v>
                </c:pt>
                <c:pt idx="177">
                  <c:v>0.26482414113577823</c:v>
                </c:pt>
                <c:pt idx="178">
                  <c:v>0.26566751626951346</c:v>
                </c:pt>
                <c:pt idx="179">
                  <c:v>0.2661339800817914</c:v>
                </c:pt>
                <c:pt idx="180">
                  <c:v>0.26693068830273647</c:v>
                </c:pt>
                <c:pt idx="181">
                  <c:v>0.26764260664732936</c:v>
                </c:pt>
                <c:pt idx="182">
                  <c:v>0.26822305034889832</c:v>
                </c:pt>
                <c:pt idx="183">
                  <c:v>0.26891971931651959</c:v>
                </c:pt>
                <c:pt idx="184">
                  <c:v>0.26945783042995686</c:v>
                </c:pt>
                <c:pt idx="185">
                  <c:v>0.27002467022366194</c:v>
                </c:pt>
                <c:pt idx="186">
                  <c:v>0.27075220363812608</c:v>
                </c:pt>
                <c:pt idx="187">
                  <c:v>0.27136109886161552</c:v>
                </c:pt>
                <c:pt idx="188">
                  <c:v>0.27184365239222641</c:v>
                </c:pt>
                <c:pt idx="189">
                  <c:v>0.27268077998393009</c:v>
                </c:pt>
                <c:pt idx="190">
                  <c:v>0.27333500400973926</c:v>
                </c:pt>
                <c:pt idx="191">
                  <c:v>0.27399974063250099</c:v>
                </c:pt>
                <c:pt idx="192">
                  <c:v>0.27455743342621275</c:v>
                </c:pt>
                <c:pt idx="193">
                  <c:v>0.27535654173475532</c:v>
                </c:pt>
                <c:pt idx="194">
                  <c:v>0.27593057536282578</c:v>
                </c:pt>
                <c:pt idx="195">
                  <c:v>0.27664338848034464</c:v>
                </c:pt>
                <c:pt idx="196">
                  <c:v>0.27736806577213985</c:v>
                </c:pt>
                <c:pt idx="197">
                  <c:v>0.2779998818823291</c:v>
                </c:pt>
                <c:pt idx="198">
                  <c:v>0.27861513091553147</c:v>
                </c:pt>
              </c:numCache>
            </c:numRef>
          </c:xVal>
          <c:yVal>
            <c:numRef>
              <c:f>'Efficient frontier'!$D$2:$D$200</c:f>
              <c:numCache>
                <c:formatCode>0.0%</c:formatCode>
                <c:ptCount val="199"/>
                <c:pt idx="0">
                  <c:v>0.68007251481402098</c:v>
                </c:pt>
                <c:pt idx="1">
                  <c:v>0.68221285249138763</c:v>
                </c:pt>
                <c:pt idx="2">
                  <c:v>0.68403193818194363</c:v>
                </c:pt>
                <c:pt idx="3">
                  <c:v>0.6858467671628391</c:v>
                </c:pt>
                <c:pt idx="4">
                  <c:v>0.68735472218964833</c:v>
                </c:pt>
                <c:pt idx="5">
                  <c:v>0.68950061669453389</c:v>
                </c:pt>
                <c:pt idx="6">
                  <c:v>0.69124450689697259</c:v>
                </c:pt>
                <c:pt idx="7">
                  <c:v>0.69294356725744854</c:v>
                </c:pt>
                <c:pt idx="8">
                  <c:v>0.69524413344390312</c:v>
                </c:pt>
                <c:pt idx="9">
                  <c:v>0.69682602277164185</c:v>
                </c:pt>
                <c:pt idx="10">
                  <c:v>0.69908688637159644</c:v>
                </c:pt>
                <c:pt idx="11">
                  <c:v>0.70092393402979947</c:v>
                </c:pt>
                <c:pt idx="12">
                  <c:v>0.70238424502680075</c:v>
                </c:pt>
                <c:pt idx="13">
                  <c:v>0.70465341281509952</c:v>
                </c:pt>
                <c:pt idx="14">
                  <c:v>0.7060700131207176</c:v>
                </c:pt>
                <c:pt idx="15">
                  <c:v>0.70862128544008463</c:v>
                </c:pt>
                <c:pt idx="16">
                  <c:v>0.70977989635325689</c:v>
                </c:pt>
                <c:pt idx="17">
                  <c:v>0.71234145854550512</c:v>
                </c:pt>
                <c:pt idx="18">
                  <c:v>0.71417883972070373</c:v>
                </c:pt>
                <c:pt idx="19">
                  <c:v>0.71588823080095509</c:v>
                </c:pt>
                <c:pt idx="20">
                  <c:v>0.71782524149384919</c:v>
                </c:pt>
                <c:pt idx="21">
                  <c:v>0.71929948188233928</c:v>
                </c:pt>
                <c:pt idx="22">
                  <c:v>0.7215864552098884</c:v>
                </c:pt>
                <c:pt idx="23">
                  <c:v>0.72291622815433421</c:v>
                </c:pt>
                <c:pt idx="24">
                  <c:v>0.72478170841289424</c:v>
                </c:pt>
                <c:pt idx="25">
                  <c:v>0.72682317362277438</c:v>
                </c:pt>
                <c:pt idx="26">
                  <c:v>0.72860477558857395</c:v>
                </c:pt>
                <c:pt idx="27">
                  <c:v>0.73055357013345223</c:v>
                </c:pt>
                <c:pt idx="28">
                  <c:v>0.73262329817442828</c:v>
                </c:pt>
                <c:pt idx="29">
                  <c:v>0.73472374025468801</c:v>
                </c:pt>
                <c:pt idx="30">
                  <c:v>0.73631286196168022</c:v>
                </c:pt>
                <c:pt idx="31">
                  <c:v>0.73795664858527055</c:v>
                </c:pt>
                <c:pt idx="32">
                  <c:v>0.74005129457166119</c:v>
                </c:pt>
                <c:pt idx="33">
                  <c:v>0.74200044126331499</c:v>
                </c:pt>
                <c:pt idx="34">
                  <c:v>0.74379662226100929</c:v>
                </c:pt>
                <c:pt idx="35">
                  <c:v>0.74565894348663231</c:v>
                </c:pt>
                <c:pt idx="36">
                  <c:v>0.7474466627777131</c:v>
                </c:pt>
                <c:pt idx="37">
                  <c:v>0.74959850287834595</c:v>
                </c:pt>
                <c:pt idx="38">
                  <c:v>0.75112546949140002</c:v>
                </c:pt>
                <c:pt idx="39">
                  <c:v>0.75306646913908548</c:v>
                </c:pt>
                <c:pt idx="40">
                  <c:v>0.75499539794998183</c:v>
                </c:pt>
                <c:pt idx="41">
                  <c:v>0.75681300671333385</c:v>
                </c:pt>
                <c:pt idx="42">
                  <c:v>0.75820960203440269</c:v>
                </c:pt>
                <c:pt idx="43">
                  <c:v>0.76029916628674588</c:v>
                </c:pt>
                <c:pt idx="44">
                  <c:v>0.76226223099370083</c:v>
                </c:pt>
                <c:pt idx="45">
                  <c:v>0.76433988259875807</c:v>
                </c:pt>
                <c:pt idx="46">
                  <c:v>0.76621528242034431</c:v>
                </c:pt>
                <c:pt idx="47">
                  <c:v>0.76809068224193056</c:v>
                </c:pt>
                <c:pt idx="48">
                  <c:v>0.7695772933971583</c:v>
                </c:pt>
                <c:pt idx="49">
                  <c:v>0.77158874611966388</c:v>
                </c:pt>
                <c:pt idx="50">
                  <c:v>0.77356795362023945</c:v>
                </c:pt>
                <c:pt idx="51">
                  <c:v>0.77549678269458855</c:v>
                </c:pt>
                <c:pt idx="52">
                  <c:v>0.77742561176893743</c:v>
                </c:pt>
                <c:pt idx="53">
                  <c:v>0.77935444084328664</c:v>
                </c:pt>
                <c:pt idx="54">
                  <c:v>0.78128709058839751</c:v>
                </c:pt>
                <c:pt idx="55">
                  <c:v>0.78317354987861965</c:v>
                </c:pt>
                <c:pt idx="56">
                  <c:v>0.78503326975794219</c:v>
                </c:pt>
                <c:pt idx="57">
                  <c:v>0.78685502591487422</c:v>
                </c:pt>
                <c:pt idx="58">
                  <c:v>0.78875963608783639</c:v>
                </c:pt>
                <c:pt idx="59">
                  <c:v>0.79049853822873783</c:v>
                </c:pt>
                <c:pt idx="60">
                  <c:v>0.79244138090380112</c:v>
                </c:pt>
                <c:pt idx="61">
                  <c:v>0.79418603295855517</c:v>
                </c:pt>
                <c:pt idx="62">
                  <c:v>0.79611901075299896</c:v>
                </c:pt>
                <c:pt idx="63">
                  <c:v>0.79788838695888264</c:v>
                </c:pt>
                <c:pt idx="64">
                  <c:v>0.79972100160191428</c:v>
                </c:pt>
                <c:pt idx="65">
                  <c:v>0.80178531525124552</c:v>
                </c:pt>
                <c:pt idx="66">
                  <c:v>0.80359640300258672</c:v>
                </c:pt>
                <c:pt idx="67">
                  <c:v>0.80560578761399293</c:v>
                </c:pt>
                <c:pt idx="68">
                  <c:v>0.80786924343417221</c:v>
                </c:pt>
                <c:pt idx="69">
                  <c:v>0.8094802370657862</c:v>
                </c:pt>
                <c:pt idx="70">
                  <c:v>0.81108299760336444</c:v>
                </c:pt>
                <c:pt idx="71">
                  <c:v>0.8128869922270654</c:v>
                </c:pt>
                <c:pt idx="72">
                  <c:v>0.81428648458677888</c:v>
                </c:pt>
                <c:pt idx="73">
                  <c:v>0.81627553565248734</c:v>
                </c:pt>
                <c:pt idx="74">
                  <c:v>0.81888031755159896</c:v>
                </c:pt>
                <c:pt idx="75">
                  <c:v>0.82045615071656097</c:v>
                </c:pt>
                <c:pt idx="76">
                  <c:v>0.82213133314947617</c:v>
                </c:pt>
                <c:pt idx="77">
                  <c:v>0.82436812684418048</c:v>
                </c:pt>
                <c:pt idx="78">
                  <c:v>0.82668586146823175</c:v>
                </c:pt>
                <c:pt idx="79">
                  <c:v>0.82757526622897215</c:v>
                </c:pt>
                <c:pt idx="80">
                  <c:v>0.82977614145557432</c:v>
                </c:pt>
                <c:pt idx="81">
                  <c:v>0.83175048831887199</c:v>
                </c:pt>
                <c:pt idx="82">
                  <c:v>0.83343869726908537</c:v>
                </c:pt>
                <c:pt idx="83">
                  <c:v>0.83512690621929875</c:v>
                </c:pt>
                <c:pt idx="84">
                  <c:v>0.83713829198257106</c:v>
                </c:pt>
                <c:pt idx="85">
                  <c:v>0.8393892568050858</c:v>
                </c:pt>
                <c:pt idx="86">
                  <c:v>0.84117704283076278</c:v>
                </c:pt>
                <c:pt idx="87">
                  <c:v>0.84265245254665111</c:v>
                </c:pt>
                <c:pt idx="88">
                  <c:v>0.84502701769496069</c:v>
                </c:pt>
                <c:pt idx="89">
                  <c:v>0.84624202270192028</c:v>
                </c:pt>
                <c:pt idx="90">
                  <c:v>0.84880093550227276</c:v>
                </c:pt>
                <c:pt idx="91">
                  <c:v>0.85014916884550151</c:v>
                </c:pt>
                <c:pt idx="92">
                  <c:v>0.85225443457526318</c:v>
                </c:pt>
                <c:pt idx="93">
                  <c:v>0.85399768625302364</c:v>
                </c:pt>
                <c:pt idx="94">
                  <c:v>0.85594889698115506</c:v>
                </c:pt>
                <c:pt idx="95">
                  <c:v>0.85778948328313975</c:v>
                </c:pt>
                <c:pt idx="96">
                  <c:v>0.85989384665572999</c:v>
                </c:pt>
                <c:pt idx="97">
                  <c:v>0.86190540694919715</c:v>
                </c:pt>
                <c:pt idx="98">
                  <c:v>0.86391696724266454</c:v>
                </c:pt>
                <c:pt idx="99">
                  <c:v>0.8654723973648516</c:v>
                </c:pt>
                <c:pt idx="100">
                  <c:v>0.86725562153184177</c:v>
                </c:pt>
                <c:pt idx="101">
                  <c:v>0.86894455163768103</c:v>
                </c:pt>
                <c:pt idx="102">
                  <c:v>0.87077120662110774</c:v>
                </c:pt>
                <c:pt idx="103">
                  <c:v>0.8731180683874914</c:v>
                </c:pt>
                <c:pt idx="104">
                  <c:v>0.87472230276479668</c:v>
                </c:pt>
                <c:pt idx="105">
                  <c:v>0.87685332480876366</c:v>
                </c:pt>
                <c:pt idx="106">
                  <c:v>0.87892909673032238</c:v>
                </c:pt>
                <c:pt idx="107">
                  <c:v>0.88041598377552122</c:v>
                </c:pt>
                <c:pt idx="108">
                  <c:v>0.88261304505199323</c:v>
                </c:pt>
                <c:pt idx="109">
                  <c:v>0.88429463211711057</c:v>
                </c:pt>
                <c:pt idx="110">
                  <c:v>0.88616384732979003</c:v>
                </c:pt>
                <c:pt idx="111">
                  <c:v>0.88787870121896506</c:v>
                </c:pt>
                <c:pt idx="112">
                  <c:v>0.8896735233707358</c:v>
                </c:pt>
                <c:pt idx="113">
                  <c:v>0.89177064723947996</c:v>
                </c:pt>
                <c:pt idx="114">
                  <c:v>0.89337376949163971</c:v>
                </c:pt>
                <c:pt idx="115">
                  <c:v>0.89569468331512014</c:v>
                </c:pt>
                <c:pt idx="116">
                  <c:v>0.8974288302899347</c:v>
                </c:pt>
                <c:pt idx="117">
                  <c:v>0.89902218096755881</c:v>
                </c:pt>
                <c:pt idx="118">
                  <c:v>0.90083044798897638</c:v>
                </c:pt>
                <c:pt idx="119">
                  <c:v>0.90262833535678277</c:v>
                </c:pt>
                <c:pt idx="120">
                  <c:v>0.90480010684597345</c:v>
                </c:pt>
                <c:pt idx="121">
                  <c:v>0.90658883604193707</c:v>
                </c:pt>
                <c:pt idx="122">
                  <c:v>0.90843090970843987</c:v>
                </c:pt>
                <c:pt idx="123">
                  <c:v>0.91004588483460525</c:v>
                </c:pt>
                <c:pt idx="124">
                  <c:v>0.91188097385576949</c:v>
                </c:pt>
                <c:pt idx="125">
                  <c:v>0.91417484383643255</c:v>
                </c:pt>
                <c:pt idx="126">
                  <c:v>0.91623932333734659</c:v>
                </c:pt>
                <c:pt idx="127">
                  <c:v>0.91815764010133549</c:v>
                </c:pt>
                <c:pt idx="128">
                  <c:v>0.91954766963167756</c:v>
                </c:pt>
                <c:pt idx="129">
                  <c:v>0.92135671024762578</c:v>
                </c:pt>
                <c:pt idx="130">
                  <c:v>0.92361093751847656</c:v>
                </c:pt>
                <c:pt idx="131">
                  <c:v>0.92532096298241917</c:v>
                </c:pt>
                <c:pt idx="132">
                  <c:v>0.92750726282622042</c:v>
                </c:pt>
                <c:pt idx="133">
                  <c:v>0.92927300247631039</c:v>
                </c:pt>
                <c:pt idx="134">
                  <c:v>0.9310178774978507</c:v>
                </c:pt>
                <c:pt idx="135">
                  <c:v>0.93303156868749704</c:v>
                </c:pt>
                <c:pt idx="136">
                  <c:v>0.93445824187008153</c:v>
                </c:pt>
                <c:pt idx="137">
                  <c:v>0.93691172276872814</c:v>
                </c:pt>
                <c:pt idx="138">
                  <c:v>0.93871480525352535</c:v>
                </c:pt>
                <c:pt idx="139">
                  <c:v>0.94065661119385724</c:v>
                </c:pt>
                <c:pt idx="140">
                  <c:v>0.94205475805737993</c:v>
                </c:pt>
                <c:pt idx="141">
                  <c:v>0.94407193886295937</c:v>
                </c:pt>
                <c:pt idx="142">
                  <c:v>0.94587949078719824</c:v>
                </c:pt>
                <c:pt idx="143">
                  <c:v>0.94756174492574863</c:v>
                </c:pt>
                <c:pt idx="144">
                  <c:v>0.94973269966137852</c:v>
                </c:pt>
                <c:pt idx="145">
                  <c:v>0.95143468332702663</c:v>
                </c:pt>
                <c:pt idx="146">
                  <c:v>0.95307162341323592</c:v>
                </c:pt>
                <c:pt idx="147">
                  <c:v>0.95522164436795554</c:v>
                </c:pt>
                <c:pt idx="148">
                  <c:v>0.95702605772162952</c:v>
                </c:pt>
                <c:pt idx="149">
                  <c:v>0.95953907591222198</c:v>
                </c:pt>
                <c:pt idx="150">
                  <c:v>0.9608375729011035</c:v>
                </c:pt>
                <c:pt idx="151">
                  <c:v>0.96255257736049216</c:v>
                </c:pt>
                <c:pt idx="152">
                  <c:v>0.964332631380729</c:v>
                </c:pt>
                <c:pt idx="153">
                  <c:v>0.9665878982472087</c:v>
                </c:pt>
                <c:pt idx="154">
                  <c:v>0.96843469348424527</c:v>
                </c:pt>
                <c:pt idx="155">
                  <c:v>0.97034567760052182</c:v>
                </c:pt>
                <c:pt idx="156">
                  <c:v>0.97223591953294597</c:v>
                </c:pt>
                <c:pt idx="157">
                  <c:v>0.97409420528310109</c:v>
                </c:pt>
                <c:pt idx="158">
                  <c:v>0.97601640339779405</c:v>
                </c:pt>
                <c:pt idx="159">
                  <c:v>0.97773851426036551</c:v>
                </c:pt>
                <c:pt idx="160">
                  <c:v>0.97987196074940142</c:v>
                </c:pt>
                <c:pt idx="161">
                  <c:v>0.98100823560143813</c:v>
                </c:pt>
                <c:pt idx="162">
                  <c:v>0.98276841805071391</c:v>
                </c:pt>
                <c:pt idx="163">
                  <c:v>0.98493000449288215</c:v>
                </c:pt>
                <c:pt idx="164">
                  <c:v>0.98706283770621039</c:v>
                </c:pt>
                <c:pt idx="165">
                  <c:v>0.98859519965617337</c:v>
                </c:pt>
                <c:pt idx="166">
                  <c:v>0.99092499602502426</c:v>
                </c:pt>
                <c:pt idx="167">
                  <c:v>0.99276771829542509</c:v>
                </c:pt>
                <c:pt idx="168">
                  <c:v>0.9943710204307824</c:v>
                </c:pt>
                <c:pt idx="169">
                  <c:v>0.99677855398688087</c:v>
                </c:pt>
                <c:pt idx="170">
                  <c:v>0.99815388346135636</c:v>
                </c:pt>
                <c:pt idx="171">
                  <c:v>1.0006236272370097</c:v>
                </c:pt>
                <c:pt idx="172">
                  <c:v>1.0021342605751196</c:v>
                </c:pt>
                <c:pt idx="173">
                  <c:v>1.0036462015285987</c:v>
                </c:pt>
                <c:pt idx="174">
                  <c:v>1.0056252042760057</c:v>
                </c:pt>
                <c:pt idx="175">
                  <c:v>1.0079517077929969</c:v>
                </c:pt>
                <c:pt idx="176">
                  <c:v>1.0090690546902981</c:v>
                </c:pt>
                <c:pt idx="177">
                  <c:v>1.0110181633246182</c:v>
                </c:pt>
                <c:pt idx="178">
                  <c:v>1.0135253746707291</c:v>
                </c:pt>
                <c:pt idx="179">
                  <c:v>1.0149074679380472</c:v>
                </c:pt>
                <c:pt idx="180">
                  <c:v>1.0172605771309216</c:v>
                </c:pt>
                <c:pt idx="181">
                  <c:v>1.0193545201325929</c:v>
                </c:pt>
                <c:pt idx="182">
                  <c:v>1.0210576871052015</c:v>
                </c:pt>
                <c:pt idx="183">
                  <c:v>1.023094393417344</c:v>
                </c:pt>
                <c:pt idx="184">
                  <c:v>1.0246641850936831</c:v>
                </c:pt>
                <c:pt idx="185">
                  <c:v>1.0263123513755095</c:v>
                </c:pt>
                <c:pt idx="186">
                  <c:v>1.0284221375571589</c:v>
                </c:pt>
                <c:pt idx="187">
                  <c:v>1.0301822063181212</c:v>
                </c:pt>
                <c:pt idx="188">
                  <c:v>1.0315736268947839</c:v>
                </c:pt>
                <c:pt idx="189">
                  <c:v>1.0339803268873435</c:v>
                </c:pt>
                <c:pt idx="190">
                  <c:v>1.035854841787399</c:v>
                </c:pt>
                <c:pt idx="191">
                  <c:v>1.0377544243895298</c:v>
                </c:pt>
                <c:pt idx="192">
                  <c:v>1.0393433353329558</c:v>
                </c:pt>
                <c:pt idx="193">
                  <c:v>1.0416145827708239</c:v>
                </c:pt>
                <c:pt idx="194">
                  <c:v>1.0432412724341991</c:v>
                </c:pt>
                <c:pt idx="195">
                  <c:v>1.0452555810859836</c:v>
                </c:pt>
                <c:pt idx="196">
                  <c:v>1.0472970485983264</c:v>
                </c:pt>
                <c:pt idx="197">
                  <c:v>1.0490727307015484</c:v>
                </c:pt>
                <c:pt idx="198">
                  <c:v>1.0507968928672993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200-480D-94DE-68FB4A61DAA8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0.23237993595243175</c:v>
                </c:pt>
              </c:numCache>
            </c:numRef>
          </c:xVal>
          <c:yVal>
            <c:numRef>
              <c:f>Portfolio!$L$2</c:f>
              <c:numCache>
                <c:formatCode>0.0%</c:formatCode>
                <c:ptCount val="1"/>
                <c:pt idx="0">
                  <c:v>0.90262833535678277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200-480D-94DE-68FB4A61DAA8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0.41008688016859701</c:v>
                </c:pt>
                <c:pt idx="1">
                  <c:v>0.37869098382694677</c:v>
                </c:pt>
                <c:pt idx="2">
                  <c:v>0.27926838338872473</c:v>
                </c:pt>
                <c:pt idx="3">
                  <c:v>0.31131751100715133</c:v>
                </c:pt>
              </c:numCache>
            </c:numRef>
          </c:xVal>
          <c:yVal>
            <c:numRef>
              <c:f>'Efficient frontier'!$I$2:$I$55</c:f>
              <c:numCache>
                <c:formatCode>0.0%</c:formatCode>
                <c:ptCount val="54"/>
                <c:pt idx="0">
                  <c:v>1.3610142332824235</c:v>
                </c:pt>
                <c:pt idx="1">
                  <c:v>0.67750805536128278</c:v>
                </c:pt>
                <c:pt idx="2">
                  <c:v>0.6808756543612754</c:v>
                </c:pt>
                <c:pt idx="3">
                  <c:v>0.54844468246530098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200-480D-94DE-68FB4A61DAA8}"/>
            </c:ext>
          </c:extLst>
        </c:ser>
        <c:dLbls/>
        <c:axId val="161027968"/>
        <c:axId val="161046528"/>
      </c:scatterChart>
      <c:valAx>
        <c:axId val="161027968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/>
              </a:pPr>
              <a:endParaRPr lang="de-DE"/>
            </a:p>
          </c:txPr>
        </c:title>
        <c:numFmt formatCode="0%" sourceLinked="0"/>
        <c:tickLblPos val="nextTo"/>
        <c:crossAx val="161046528"/>
        <c:crosses val="autoZero"/>
        <c:crossBetween val="midCat"/>
      </c:valAx>
      <c:valAx>
        <c:axId val="161046528"/>
        <c:scaling>
          <c:orientation val="minMax"/>
          <c:min val="0"/>
        </c:scaling>
        <c:axPos val="l"/>
        <c:majorGridlines/>
        <c:title>
          <c:tx>
            <c:strRef>
              <c:f>'Efficient frontier'!$D$1</c:f>
              <c:strCache>
                <c:ptCount val="1"/>
                <c:pt idx="0">
                  <c:v>Return / year</c:v>
                </c:pt>
              </c:strCache>
            </c:strRef>
          </c:tx>
          <c:layout>
            <c:manualLayout>
              <c:xMode val="edge"/>
              <c:yMode val="edge"/>
              <c:x val="1.3888888888888923E-2"/>
              <c:y val="0.26450183727034132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61027968"/>
        <c:crosses val="autoZero"/>
        <c:crossBetween val="midCat"/>
      </c:valAx>
    </c:plotArea>
    <c:plotVisOnly val="1"/>
    <c:dispBlanksAs val="gap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0.20136849060279488</c:v>
                </c:pt>
                <c:pt idx="1">
                  <c:v>0.20137687106529681</c:v>
                </c:pt>
                <c:pt idx="2">
                  <c:v>0.20138864281659735</c:v>
                </c:pt>
                <c:pt idx="3">
                  <c:v>0.20140476437370203</c:v>
                </c:pt>
                <c:pt idx="4">
                  <c:v>0.20142175067010892</c:v>
                </c:pt>
                <c:pt idx="5">
                  <c:v>0.20145064650507197</c:v>
                </c:pt>
                <c:pt idx="6">
                  <c:v>0.20147882054951374</c:v>
                </c:pt>
                <c:pt idx="7">
                  <c:v>0.20151020712564044</c:v>
                </c:pt>
                <c:pt idx="8">
                  <c:v>0.20155868636673901</c:v>
                </c:pt>
                <c:pt idx="9">
                  <c:v>0.20159593704897394</c:v>
                </c:pt>
                <c:pt idx="10">
                  <c:v>0.20165518395857232</c:v>
                </c:pt>
                <c:pt idx="11">
                  <c:v>0.2017080865841136</c:v>
                </c:pt>
                <c:pt idx="12">
                  <c:v>0.20175348239613244</c:v>
                </c:pt>
                <c:pt idx="13">
                  <c:v>0.20182968893877568</c:v>
                </c:pt>
                <c:pt idx="14">
                  <c:v>0.20188036749083751</c:v>
                </c:pt>
                <c:pt idx="15">
                  <c:v>0.20197874152080453</c:v>
                </c:pt>
                <c:pt idx="16">
                  <c:v>0.202026578543472</c:v>
                </c:pt>
                <c:pt idx="17">
                  <c:v>0.20213746461499479</c:v>
                </c:pt>
                <c:pt idx="18">
                  <c:v>0.20222253030104909</c:v>
                </c:pt>
                <c:pt idx="19">
                  <c:v>0.2023056625281556</c:v>
                </c:pt>
                <c:pt idx="20">
                  <c:v>0.20240460695709342</c:v>
                </c:pt>
                <c:pt idx="21">
                  <c:v>0.20248304866422803</c:v>
                </c:pt>
                <c:pt idx="22">
                  <c:v>0.20261053696719666</c:v>
                </c:pt>
                <c:pt idx="23">
                  <c:v>0.2026876395122664</c:v>
                </c:pt>
                <c:pt idx="24">
                  <c:v>0.20279992204388578</c:v>
                </c:pt>
                <c:pt idx="25">
                  <c:v>0.2029277693244971</c:v>
                </c:pt>
                <c:pt idx="26">
                  <c:v>0.20304392416285061</c:v>
                </c:pt>
                <c:pt idx="27">
                  <c:v>0.20317552057533769</c:v>
                </c:pt>
                <c:pt idx="28">
                  <c:v>0.2033207694327594</c:v>
                </c:pt>
                <c:pt idx="29">
                  <c:v>0.203473863429317</c:v>
                </c:pt>
                <c:pt idx="30">
                  <c:v>0.2035931240125691</c:v>
                </c:pt>
                <c:pt idx="31">
                  <c:v>0.20372063628477347</c:v>
                </c:pt>
                <c:pt idx="32">
                  <c:v>0.20388706187555436</c:v>
                </c:pt>
                <c:pt idx="33">
                  <c:v>0.2040475909327894</c:v>
                </c:pt>
                <c:pt idx="34">
                  <c:v>0.20419953646153727</c:v>
                </c:pt>
                <c:pt idx="35">
                  <c:v>0.20436142624342152</c:v>
                </c:pt>
                <c:pt idx="36">
                  <c:v>0.20452104449654715</c:v>
                </c:pt>
                <c:pt idx="37">
                  <c:v>0.2047187666607331</c:v>
                </c:pt>
                <c:pt idx="38">
                  <c:v>0.20486247478196776</c:v>
                </c:pt>
                <c:pt idx="39">
                  <c:v>0.20504915446783323</c:v>
                </c:pt>
                <c:pt idx="40">
                  <c:v>0.20523958190951477</c:v>
                </c:pt>
                <c:pt idx="41">
                  <c:v>0.20542328672490767</c:v>
                </c:pt>
                <c:pt idx="42">
                  <c:v>0.20556728103811683</c:v>
                </c:pt>
                <c:pt idx="43">
                  <c:v>0.20578729066833831</c:v>
                </c:pt>
                <c:pt idx="44">
                  <c:v>0.20599889392428833</c:v>
                </c:pt>
                <c:pt idx="45">
                  <c:v>0.20622797105007049</c:v>
                </c:pt>
                <c:pt idx="46">
                  <c:v>0.20643931447676908</c:v>
                </c:pt>
                <c:pt idx="47">
                  <c:v>0.20665499224170317</c:v>
                </c:pt>
                <c:pt idx="48">
                  <c:v>0.20682897281243276</c:v>
                </c:pt>
                <c:pt idx="49">
                  <c:v>0.20706885852185392</c:v>
                </c:pt>
                <c:pt idx="50">
                  <c:v>0.20730988543351114</c:v>
                </c:pt>
                <c:pt idx="51">
                  <c:v>0.20754895860777095</c:v>
                </c:pt>
                <c:pt idx="52">
                  <c:v>0.20779259919636486</c:v>
                </c:pt>
                <c:pt idx="53">
                  <c:v>0.20804079115233215</c:v>
                </c:pt>
                <c:pt idx="54">
                  <c:v>0.2082940196708537</c:v>
                </c:pt>
                <c:pt idx="55">
                  <c:v>0.20854564598749431</c:v>
                </c:pt>
                <c:pt idx="56">
                  <c:v>0.20879765906605799</c:v>
                </c:pt>
                <c:pt idx="57">
                  <c:v>0.20904867685092784</c:v>
                </c:pt>
                <c:pt idx="58">
                  <c:v>0.20931499958087138</c:v>
                </c:pt>
                <c:pt idx="59">
                  <c:v>0.20956259565920202</c:v>
                </c:pt>
                <c:pt idx="60">
                  <c:v>0.20984236056452241</c:v>
                </c:pt>
                <c:pt idx="61">
                  <c:v>0.2100978345664862</c:v>
                </c:pt>
                <c:pt idx="62">
                  <c:v>0.21038499637278121</c:v>
                </c:pt>
                <c:pt idx="63">
                  <c:v>0.21065192523091825</c:v>
                </c:pt>
                <c:pt idx="64">
                  <c:v>0.21093201520741933</c:v>
                </c:pt>
                <c:pt idx="65">
                  <c:v>0.21125179719759177</c:v>
                </c:pt>
                <c:pt idx="66">
                  <c:v>0.21153665116951456</c:v>
                </c:pt>
                <c:pt idx="67">
                  <c:v>0.21185709806708325</c:v>
                </c:pt>
                <c:pt idx="68">
                  <c:v>0.21222353462764146</c:v>
                </c:pt>
                <c:pt idx="69">
                  <c:v>0.21248810617502525</c:v>
                </c:pt>
                <c:pt idx="70">
                  <c:v>0.21275391648743841</c:v>
                </c:pt>
                <c:pt idx="71">
                  <c:v>0.21305655552544012</c:v>
                </c:pt>
                <c:pt idx="72">
                  <c:v>0.21329394645047767</c:v>
                </c:pt>
                <c:pt idx="73">
                  <c:v>0.21363507739916721</c:v>
                </c:pt>
                <c:pt idx="74">
                  <c:v>0.21408855063671134</c:v>
                </c:pt>
                <c:pt idx="75">
                  <c:v>0.21436661748380914</c:v>
                </c:pt>
                <c:pt idx="76">
                  <c:v>0.21466525699163702</c:v>
                </c:pt>
                <c:pt idx="77">
                  <c:v>0.2150681213973939</c:v>
                </c:pt>
                <c:pt idx="78">
                  <c:v>0.21549173964898455</c:v>
                </c:pt>
                <c:pt idx="79">
                  <c:v>0.21565585345046354</c:v>
                </c:pt>
                <c:pt idx="80">
                  <c:v>0.21606584184211206</c:v>
                </c:pt>
                <c:pt idx="81">
                  <c:v>0.21643759925078376</c:v>
                </c:pt>
                <c:pt idx="82">
                  <c:v>0.21675899458683834</c:v>
                </c:pt>
                <c:pt idx="83">
                  <c:v>0.21708342182095661</c:v>
                </c:pt>
                <c:pt idx="84">
                  <c:v>0.21747395904649111</c:v>
                </c:pt>
                <c:pt idx="85">
                  <c:v>0.21791591623933965</c:v>
                </c:pt>
                <c:pt idx="86">
                  <c:v>0.2182709133014695</c:v>
                </c:pt>
                <c:pt idx="87">
                  <c:v>0.21856629024078311</c:v>
                </c:pt>
                <c:pt idx="88">
                  <c:v>0.21904621852216408</c:v>
                </c:pt>
                <c:pt idx="89">
                  <c:v>0.21929412559173003</c:v>
                </c:pt>
                <c:pt idx="90">
                  <c:v>0.21982131760316662</c:v>
                </c:pt>
                <c:pt idx="91">
                  <c:v>0.2201016441223273</c:v>
                </c:pt>
                <c:pt idx="92">
                  <c:v>0.22054308231320485</c:v>
                </c:pt>
                <c:pt idx="93">
                  <c:v>0.22091203331599391</c:v>
                </c:pt>
                <c:pt idx="94">
                  <c:v>0.22132871876229521</c:v>
                </c:pt>
                <c:pt idx="95">
                  <c:v>0.22172511808477002</c:v>
                </c:pt>
                <c:pt idx="96">
                  <c:v>0.22218256085950269</c:v>
                </c:pt>
                <c:pt idx="97">
                  <c:v>0.2226239926364266</c:v>
                </c:pt>
                <c:pt idx="98">
                  <c:v>0.2230694730534169</c:v>
                </c:pt>
                <c:pt idx="99">
                  <c:v>0.22341622415096979</c:v>
                </c:pt>
                <c:pt idx="100">
                  <c:v>0.22381699579296926</c:v>
                </c:pt>
                <c:pt idx="101">
                  <c:v>0.22419949617218216</c:v>
                </c:pt>
                <c:pt idx="102">
                  <c:v>0.22461609207133934</c:v>
                </c:pt>
                <c:pt idx="103">
                  <c:v>0.22515609333828843</c:v>
                </c:pt>
                <c:pt idx="104">
                  <c:v>0.22552815371148263</c:v>
                </c:pt>
                <c:pt idx="105">
                  <c:v>0.22602625811907825</c:v>
                </c:pt>
                <c:pt idx="106">
                  <c:v>0.22651551516347682</c:v>
                </c:pt>
                <c:pt idx="107">
                  <c:v>0.22686869650526373</c:v>
                </c:pt>
                <c:pt idx="108">
                  <c:v>0.22739398425060112</c:v>
                </c:pt>
                <c:pt idx="109">
                  <c:v>0.22779874896840063</c:v>
                </c:pt>
                <c:pt idx="110">
                  <c:v>0.22825221714779623</c:v>
                </c:pt>
                <c:pt idx="111">
                  <c:v>0.2286706347246267</c:v>
                </c:pt>
                <c:pt idx="112">
                  <c:v>0.22911166688260387</c:v>
                </c:pt>
                <c:pt idx="113">
                  <c:v>0.2296307323348119</c:v>
                </c:pt>
                <c:pt idx="114">
                  <c:v>0.2300299936134455</c:v>
                </c:pt>
                <c:pt idx="115">
                  <c:v>0.2306123355097108</c:v>
                </c:pt>
                <c:pt idx="116">
                  <c:v>0.23105063588389571</c:v>
                </c:pt>
                <c:pt idx="117">
                  <c:v>0.2314552568349115</c:v>
                </c:pt>
                <c:pt idx="118">
                  <c:v>0.23191740031215879</c:v>
                </c:pt>
                <c:pt idx="119">
                  <c:v>0.23237993595243175</c:v>
                </c:pt>
                <c:pt idx="120">
                  <c:v>0.2329419950810952</c:v>
                </c:pt>
                <c:pt idx="121">
                  <c:v>0.23340800604321932</c:v>
                </c:pt>
                <c:pt idx="122">
                  <c:v>0.23389084820965741</c:v>
                </c:pt>
                <c:pt idx="123">
                  <c:v>0.23431675585761325</c:v>
                </c:pt>
                <c:pt idx="124">
                  <c:v>0.23480288174353434</c:v>
                </c:pt>
                <c:pt idx="125">
                  <c:v>0.23541482541365824</c:v>
                </c:pt>
                <c:pt idx="126">
                  <c:v>0.23596939018200397</c:v>
                </c:pt>
                <c:pt idx="127">
                  <c:v>0.23648786560291815</c:v>
                </c:pt>
                <c:pt idx="128">
                  <c:v>0.23686518451529917</c:v>
                </c:pt>
                <c:pt idx="129">
                  <c:v>0.23735890934221493</c:v>
                </c:pt>
                <c:pt idx="130">
                  <c:v>0.23797758991734147</c:v>
                </c:pt>
                <c:pt idx="131">
                  <c:v>0.23844983345366952</c:v>
                </c:pt>
                <c:pt idx="132">
                  <c:v>0.23905672988205676</c:v>
                </c:pt>
                <c:pt idx="133">
                  <c:v>0.23954988706530325</c:v>
                </c:pt>
                <c:pt idx="134">
                  <c:v>0.2400394833674015</c:v>
                </c:pt>
                <c:pt idx="135">
                  <c:v>0.24060768340694358</c:v>
                </c:pt>
                <c:pt idx="136">
                  <c:v>0.24101193581927766</c:v>
                </c:pt>
                <c:pt idx="137">
                  <c:v>0.24171085112454987</c:v>
                </c:pt>
                <c:pt idx="138">
                  <c:v>0.24222750274308397</c:v>
                </c:pt>
                <c:pt idx="139">
                  <c:v>0.24278693235733376</c:v>
                </c:pt>
                <c:pt idx="140">
                  <c:v>0.24319121035268959</c:v>
                </c:pt>
                <c:pt idx="141">
                  <c:v>0.24377715973817682</c:v>
                </c:pt>
                <c:pt idx="142">
                  <c:v>0.24430488883883092</c:v>
                </c:pt>
                <c:pt idx="143">
                  <c:v>0.24479830172894976</c:v>
                </c:pt>
                <c:pt idx="144">
                  <c:v>0.24543797040097481</c:v>
                </c:pt>
                <c:pt idx="145">
                  <c:v>0.2459420127621556</c:v>
                </c:pt>
                <c:pt idx="146">
                  <c:v>0.24642858040623966</c:v>
                </c:pt>
                <c:pt idx="147">
                  <c:v>0.24707075125024433</c:v>
                </c:pt>
                <c:pt idx="148">
                  <c:v>0.24761243818808959</c:v>
                </c:pt>
                <c:pt idx="149">
                  <c:v>0.24837029250172524</c:v>
                </c:pt>
                <c:pt idx="150">
                  <c:v>0.24876371291610525</c:v>
                </c:pt>
                <c:pt idx="151">
                  <c:v>0.24928521268816201</c:v>
                </c:pt>
                <c:pt idx="152">
                  <c:v>0.24982858949554723</c:v>
                </c:pt>
                <c:pt idx="153">
                  <c:v>0.25052033784590066</c:v>
                </c:pt>
                <c:pt idx="154">
                  <c:v>0.25108914353108758</c:v>
                </c:pt>
                <c:pt idx="155">
                  <c:v>0.25168037293971335</c:v>
                </c:pt>
                <c:pt idx="156">
                  <c:v>0.25226761006696952</c:v>
                </c:pt>
                <c:pt idx="157">
                  <c:v>0.25284723244202606</c:v>
                </c:pt>
                <c:pt idx="158">
                  <c:v>0.253449306390642</c:v>
                </c:pt>
                <c:pt idx="159">
                  <c:v>0.25399066277783977</c:v>
                </c:pt>
                <c:pt idx="160">
                  <c:v>0.25466423833716695</c:v>
                </c:pt>
                <c:pt idx="161">
                  <c:v>0.25502406075218464</c:v>
                </c:pt>
                <c:pt idx="162">
                  <c:v>0.25558326062159448</c:v>
                </c:pt>
                <c:pt idx="163">
                  <c:v>0.25627284374578346</c:v>
                </c:pt>
                <c:pt idx="164">
                  <c:v>0.25695605902598156</c:v>
                </c:pt>
                <c:pt idx="165">
                  <c:v>0.25744874252947464</c:v>
                </c:pt>
                <c:pt idx="166">
                  <c:v>0.25820069585609901</c:v>
                </c:pt>
                <c:pt idx="167">
                  <c:v>0.25879778762983136</c:v>
                </c:pt>
                <c:pt idx="168">
                  <c:v>0.25931907498929252</c:v>
                </c:pt>
                <c:pt idx="169">
                  <c:v>0.26010478654031355</c:v>
                </c:pt>
                <c:pt idx="170">
                  <c:v>0.2605553735897288</c:v>
                </c:pt>
                <c:pt idx="171">
                  <c:v>0.26136748000985421</c:v>
                </c:pt>
                <c:pt idx="172">
                  <c:v>0.26186556007936806</c:v>
                </c:pt>
                <c:pt idx="173">
                  <c:v>0.26236595383048289</c:v>
                </c:pt>
                <c:pt idx="174">
                  <c:v>0.26302255680968828</c:v>
                </c:pt>
                <c:pt idx="175">
                  <c:v>0.26379763093714559</c:v>
                </c:pt>
                <c:pt idx="176">
                  <c:v>0.26417102878852489</c:v>
                </c:pt>
                <c:pt idx="177">
                  <c:v>0.26482414113577823</c:v>
                </c:pt>
                <c:pt idx="178">
                  <c:v>0.26566751626951346</c:v>
                </c:pt>
                <c:pt idx="179">
                  <c:v>0.2661339800817914</c:v>
                </c:pt>
                <c:pt idx="180">
                  <c:v>0.26693068830273647</c:v>
                </c:pt>
                <c:pt idx="181">
                  <c:v>0.26764260664732936</c:v>
                </c:pt>
                <c:pt idx="182">
                  <c:v>0.26822305034889832</c:v>
                </c:pt>
                <c:pt idx="183">
                  <c:v>0.26891971931651959</c:v>
                </c:pt>
                <c:pt idx="184">
                  <c:v>0.26945783042995686</c:v>
                </c:pt>
                <c:pt idx="185">
                  <c:v>0.27002467022366194</c:v>
                </c:pt>
                <c:pt idx="186">
                  <c:v>0.27075220363812608</c:v>
                </c:pt>
                <c:pt idx="187">
                  <c:v>0.27136109886161552</c:v>
                </c:pt>
                <c:pt idx="188">
                  <c:v>0.27184365239222641</c:v>
                </c:pt>
                <c:pt idx="189">
                  <c:v>0.27268077998393009</c:v>
                </c:pt>
                <c:pt idx="190">
                  <c:v>0.27333500400973926</c:v>
                </c:pt>
                <c:pt idx="191">
                  <c:v>0.27399974063250099</c:v>
                </c:pt>
                <c:pt idx="192">
                  <c:v>0.27455743342621275</c:v>
                </c:pt>
                <c:pt idx="193">
                  <c:v>0.27535654173475532</c:v>
                </c:pt>
                <c:pt idx="194">
                  <c:v>0.27593057536282578</c:v>
                </c:pt>
                <c:pt idx="195">
                  <c:v>0.27664338848034464</c:v>
                </c:pt>
                <c:pt idx="196">
                  <c:v>0.27736806577213985</c:v>
                </c:pt>
                <c:pt idx="197">
                  <c:v>0.2779998818823291</c:v>
                </c:pt>
                <c:pt idx="198">
                  <c:v>0.27861513091553147</c:v>
                </c:pt>
              </c:numCache>
            </c:numRef>
          </c:xVal>
          <c:yVal>
            <c:numRef>
              <c:f>'Efficient frontier'!$C$2:$C$200</c:f>
              <c:numCache>
                <c:formatCode>0.00</c:formatCode>
                <c:ptCount val="199"/>
                <c:pt idx="0">
                  <c:v>3.3772538731269703</c:v>
                </c:pt>
                <c:pt idx="1">
                  <c:v>3.3877418438494802</c:v>
                </c:pt>
                <c:pt idx="2">
                  <c:v>3.3965765328925959</c:v>
                </c:pt>
                <c:pt idx="3">
                  <c:v>3.4053155062919256</c:v>
                </c:pt>
                <c:pt idx="4">
                  <c:v>3.4125148843304736</c:v>
                </c:pt>
                <c:pt idx="5">
                  <c:v>3.4226776069302618</c:v>
                </c:pt>
                <c:pt idx="6">
                  <c:v>3.4308544442124038</c:v>
                </c:pt>
                <c:pt idx="7">
                  <c:v>3.4387516996863701</c:v>
                </c:pt>
                <c:pt idx="8">
                  <c:v>3.4493384828818345</c:v>
                </c:pt>
                <c:pt idx="9">
                  <c:v>3.4565479491898743</c:v>
                </c:pt>
                <c:pt idx="10">
                  <c:v>3.4667439370922182</c:v>
                </c:pt>
                <c:pt idx="11">
                  <c:v>3.4749421597309613</c:v>
                </c:pt>
                <c:pt idx="12">
                  <c:v>3.4813983713436278</c:v>
                </c:pt>
                <c:pt idx="13">
                  <c:v>3.4913268534484718</c:v>
                </c:pt>
                <c:pt idx="14">
                  <c:v>3.4974674451826679</c:v>
                </c:pt>
                <c:pt idx="15">
                  <c:v>3.5083953890617448</c:v>
                </c:pt>
                <c:pt idx="16">
                  <c:v>3.5132995938973779</c:v>
                </c:pt>
                <c:pt idx="17">
                  <c:v>3.5240446886097074</c:v>
                </c:pt>
                <c:pt idx="18">
                  <c:v>3.5316482226659129</c:v>
                </c:pt>
                <c:pt idx="19">
                  <c:v>3.5386465304762407</c:v>
                </c:pt>
                <c:pt idx="20">
                  <c:v>3.5464866748117885</c:v>
                </c:pt>
                <c:pt idx="21">
                  <c:v>3.5523935787589478</c:v>
                </c:pt>
                <c:pt idx="22">
                  <c:v>3.5614458458629703</c:v>
                </c:pt>
                <c:pt idx="23">
                  <c:v>3.5666517696585252</c:v>
                </c:pt>
                <c:pt idx="24">
                  <c:v>3.5738756756329124</c:v>
                </c:pt>
                <c:pt idx="25">
                  <c:v>3.5816841432900604</c:v>
                </c:pt>
                <c:pt idx="26">
                  <c:v>3.5884096438374549</c:v>
                </c:pt>
                <c:pt idx="27">
                  <c:v>3.5956771173255695</c:v>
                </c:pt>
                <c:pt idx="28">
                  <c:v>3.6032880468550239</c:v>
                </c:pt>
                <c:pt idx="29">
                  <c:v>3.6108998368231076</c:v>
                </c:pt>
                <c:pt idx="30">
                  <c:v>3.6165900274521205</c:v>
                </c:pt>
                <c:pt idx="31">
                  <c:v>3.6223951684193079</c:v>
                </c:pt>
                <c:pt idx="32">
                  <c:v>3.6297118991462196</c:v>
                </c:pt>
                <c:pt idx="33">
                  <c:v>3.6364087312734816</c:v>
                </c:pt>
                <c:pt idx="34">
                  <c:v>3.6424990729648874</c:v>
                </c:pt>
                <c:pt idx="35">
                  <c:v>3.6487264607287173</c:v>
                </c:pt>
                <c:pt idx="36">
                  <c:v>3.6546198197727859</c:v>
                </c:pt>
                <c:pt idx="37">
                  <c:v>3.6616013036098738</c:v>
                </c:pt>
                <c:pt idx="38">
                  <c:v>3.6664863601340962</c:v>
                </c:pt>
                <c:pt idx="39">
                  <c:v>3.6726143596813596</c:v>
                </c:pt>
                <c:pt idx="40">
                  <c:v>3.6786052228601855</c:v>
                </c:pt>
                <c:pt idx="41">
                  <c:v>3.6841636543709817</c:v>
                </c:pt>
                <c:pt idx="42">
                  <c:v>3.6883768574718538</c:v>
                </c:pt>
                <c:pt idx="43">
                  <c:v>3.6945875705808238</c:v>
                </c:pt>
                <c:pt idx="44">
                  <c:v>3.7003219603395463</c:v>
                </c:pt>
                <c:pt idx="45">
                  <c:v>3.7062861972936854</c:v>
                </c:pt>
                <c:pt idx="46">
                  <c:v>3.711576374695662</c:v>
                </c:pt>
                <c:pt idx="47">
                  <c:v>3.7167777749282416</c:v>
                </c:pt>
                <c:pt idx="48">
                  <c:v>3.7208389276054943</c:v>
                </c:pt>
                <c:pt idx="49">
                  <c:v>3.7262423313075388</c:v>
                </c:pt>
                <c:pt idx="50">
                  <c:v>3.7314571468823652</c:v>
                </c:pt>
                <c:pt idx="51">
                  <c:v>3.7364522949023016</c:v>
                </c:pt>
                <c:pt idx="52">
                  <c:v>3.7413537093025484</c:v>
                </c:pt>
                <c:pt idx="53">
                  <c:v>3.7461616855351494</c:v>
                </c:pt>
                <c:pt idx="54">
                  <c:v>3.7508858479133855</c:v>
                </c:pt>
                <c:pt idx="55">
                  <c:v>3.7554059024832558</c:v>
                </c:pt>
                <c:pt idx="56">
                  <c:v>3.7597800342655119</c:v>
                </c:pt>
                <c:pt idx="57">
                  <c:v>3.7639799388731787</c:v>
                </c:pt>
                <c:pt idx="58">
                  <c:v>3.7682900779554003</c:v>
                </c:pt>
                <c:pt idx="59">
                  <c:v>3.7721356511267601</c:v>
                </c:pt>
                <c:pt idx="60">
                  <c:v>3.7763651665562583</c:v>
                </c:pt>
                <c:pt idx="61">
                  <c:v>3.7800771940237783</c:v>
                </c:pt>
                <c:pt idx="62">
                  <c:v>3.7841054470555284</c:v>
                </c:pt>
                <c:pt idx="63">
                  <c:v>3.7877099204492497</c:v>
                </c:pt>
                <c:pt idx="64">
                  <c:v>3.7913685166071693</c:v>
                </c:pt>
                <c:pt idx="65">
                  <c:v>3.7954011558126788</c:v>
                </c:pt>
                <c:pt idx="66">
                  <c:v>3.7988518706322245</c:v>
                </c:pt>
                <c:pt idx="67">
                  <c:v>3.8025904959715007</c:v>
                </c:pt>
                <c:pt idx="68">
                  <c:v>3.8066901715289294</c:v>
                </c:pt>
                <c:pt idx="69">
                  <c:v>3.8095319857527552</c:v>
                </c:pt>
                <c:pt idx="70">
                  <c:v>3.8123058366883367</c:v>
                </c:pt>
                <c:pt idx="71">
                  <c:v>3.8153578059230489</c:v>
                </c:pt>
                <c:pt idx="72">
                  <c:v>3.8176727381985915</c:v>
                </c:pt>
                <c:pt idx="73">
                  <c:v>3.8208872137945518</c:v>
                </c:pt>
                <c:pt idx="74">
                  <c:v>3.8249608169899934</c:v>
                </c:pt>
                <c:pt idx="75">
                  <c:v>3.8273503605500938</c:v>
                </c:pt>
                <c:pt idx="76">
                  <c:v>3.8298294967289701</c:v>
                </c:pt>
                <c:pt idx="77">
                  <c:v>3.8330558777744077</c:v>
                </c:pt>
                <c:pt idx="78">
                  <c:v>3.8362763362290546</c:v>
                </c:pt>
                <c:pt idx="79">
                  <c:v>3.8374811209057555</c:v>
                </c:pt>
                <c:pt idx="80">
                  <c:v>3.8403855712738015</c:v>
                </c:pt>
                <c:pt idx="81">
                  <c:v>3.8429112649467725</c:v>
                </c:pt>
                <c:pt idx="82">
                  <c:v>3.8450016750524827</c:v>
                </c:pt>
                <c:pt idx="83">
                  <c:v>3.8470321649346602</c:v>
                </c:pt>
                <c:pt idx="84">
                  <c:v>3.8493725669637966</c:v>
                </c:pt>
                <c:pt idx="85">
                  <c:v>3.8518951313458651</c:v>
                </c:pt>
                <c:pt idx="86">
                  <c:v>3.8538210616682269</c:v>
                </c:pt>
                <c:pt idx="87">
                  <c:v>3.8553632932980872</c:v>
                </c:pt>
                <c:pt idx="88">
                  <c:v>3.8577567026543171</c:v>
                </c:pt>
                <c:pt idx="89">
                  <c:v>3.8589361225179735</c:v>
                </c:pt>
                <c:pt idx="90">
                  <c:v>3.8613222082244736</c:v>
                </c:pt>
                <c:pt idx="91">
                  <c:v>3.86252984268036</c:v>
                </c:pt>
                <c:pt idx="92">
                  <c:v>3.8643444429824902</c:v>
                </c:pt>
                <c:pt idx="93">
                  <c:v>3.8657816572239874</c:v>
                </c:pt>
                <c:pt idx="94">
                  <c:v>3.8673196219982438</c:v>
                </c:pt>
                <c:pt idx="95">
                  <c:v>3.8687068505932172</c:v>
                </c:pt>
                <c:pt idx="96">
                  <c:v>3.8702130506069938</c:v>
                </c:pt>
                <c:pt idx="97">
                  <c:v>3.8715746525883157</c:v>
                </c:pt>
                <c:pt idx="98">
                  <c:v>3.8728605730636585</c:v>
                </c:pt>
                <c:pt idx="99">
                  <c:v>3.8738117639121099</c:v>
                </c:pt>
                <c:pt idx="100">
                  <c:v>3.8748425625999077</c:v>
                </c:pt>
                <c:pt idx="101">
                  <c:v>3.875764961444621</c:v>
                </c:pt>
                <c:pt idx="102">
                  <c:v>3.8767089151588743</c:v>
                </c:pt>
                <c:pt idx="103">
                  <c:v>3.8778345077948426</c:v>
                </c:pt>
                <c:pt idx="104">
                  <c:v>3.8785503644206916</c:v>
                </c:pt>
                <c:pt idx="105">
                  <c:v>3.8794312311572567</c:v>
                </c:pt>
                <c:pt idx="106">
                  <c:v>3.8802158699636848</c:v>
                </c:pt>
                <c:pt idx="107">
                  <c:v>3.8807292382670964</c:v>
                </c:pt>
                <c:pt idx="108">
                  <c:v>3.881426538000686</c:v>
                </c:pt>
                <c:pt idx="109">
                  <c:v>3.8819117142727442</c:v>
                </c:pt>
                <c:pt idx="110">
                  <c:v>3.8823887820374932</c:v>
                </c:pt>
                <c:pt idx="111">
                  <c:v>3.8827840850145892</c:v>
                </c:pt>
                <c:pt idx="112">
                  <c:v>3.883143689171455</c:v>
                </c:pt>
                <c:pt idx="113">
                  <c:v>3.8834986857910572</c:v>
                </c:pt>
                <c:pt idx="114">
                  <c:v>3.8837273151122713</c:v>
                </c:pt>
                <c:pt idx="115">
                  <c:v>3.8839842688181072</c:v>
                </c:pt>
                <c:pt idx="116">
                  <c:v>3.8841218802829776</c:v>
                </c:pt>
                <c:pt idx="117">
                  <c:v>3.8842158664333049</c:v>
                </c:pt>
                <c:pt idx="118">
                  <c:v>3.8842727918494537</c:v>
                </c:pt>
                <c:pt idx="119">
                  <c:v>3.8842782689360544</c:v>
                </c:pt>
                <c:pt idx="120">
                  <c:v>3.8842292328224506</c:v>
                </c:pt>
                <c:pt idx="121">
                  <c:v>3.884137701232353</c:v>
                </c:pt>
                <c:pt idx="122">
                  <c:v>3.8839951056748125</c:v>
                </c:pt>
                <c:pt idx="123">
                  <c:v>3.8838276055153771</c:v>
                </c:pt>
                <c:pt idx="124">
                  <c:v>3.883602139311817</c:v>
                </c:pt>
                <c:pt idx="125">
                  <c:v>3.8832509474715273</c:v>
                </c:pt>
                <c:pt idx="126">
                  <c:v>3.8828736330193001</c:v>
                </c:pt>
                <c:pt idx="127">
                  <c:v>3.882472522471808</c:v>
                </c:pt>
                <c:pt idx="128">
                  <c:v>3.8821563055514554</c:v>
                </c:pt>
                <c:pt idx="129">
                  <c:v>3.8817026620190997</c:v>
                </c:pt>
                <c:pt idx="130">
                  <c:v>3.8810836677490568</c:v>
                </c:pt>
                <c:pt idx="131">
                  <c:v>3.8805687115827148</c:v>
                </c:pt>
                <c:pt idx="132">
                  <c:v>3.8798625886157816</c:v>
                </c:pt>
                <c:pt idx="133">
                  <c:v>3.8792462558038401</c:v>
                </c:pt>
                <c:pt idx="134">
                  <c:v>3.8786030716157067</c:v>
                </c:pt>
                <c:pt idx="135">
                  <c:v>3.8778128589910654</c:v>
                </c:pt>
                <c:pt idx="136">
                  <c:v>3.8772280662928797</c:v>
                </c:pt>
                <c:pt idx="137">
                  <c:v>3.8761674058478737</c:v>
                </c:pt>
                <c:pt idx="138">
                  <c:v>3.8753436113700239</c:v>
                </c:pt>
                <c:pt idx="139">
                  <c:v>3.8744120289365447</c:v>
                </c:pt>
                <c:pt idx="140">
                  <c:v>3.8737204222601593</c:v>
                </c:pt>
                <c:pt idx="141">
                  <c:v>3.8726841344649263</c:v>
                </c:pt>
                <c:pt idx="142">
                  <c:v>3.871717407223886</c:v>
                </c:pt>
                <c:pt idx="143">
                  <c:v>3.8707856150690376</c:v>
                </c:pt>
                <c:pt idx="144">
                  <c:v>3.8695426714529515</c:v>
                </c:pt>
                <c:pt idx="145">
                  <c:v>3.8685325562783586</c:v>
                </c:pt>
                <c:pt idx="146">
                  <c:v>3.8675368816477742</c:v>
                </c:pt>
                <c:pt idx="147">
                  <c:v>3.8661866673180767</c:v>
                </c:pt>
                <c:pt idx="148">
                  <c:v>3.8650160901636945</c:v>
                </c:pt>
                <c:pt idx="149">
                  <c:v>3.8633407653033092</c:v>
                </c:pt>
                <c:pt idx="150">
                  <c:v>3.8624506831715562</c:v>
                </c:pt>
                <c:pt idx="151">
                  <c:v>3.8612502000452658</c:v>
                </c:pt>
                <c:pt idx="152">
                  <c:v>3.8599770880022386</c:v>
                </c:pt>
                <c:pt idx="153">
                  <c:v>3.8583210710891405</c:v>
                </c:pt>
                <c:pt idx="154">
                  <c:v>3.8569357474603141</c:v>
                </c:pt>
                <c:pt idx="155">
                  <c:v>3.8554682125846784</c:v>
                </c:pt>
                <c:pt idx="156">
                  <c:v>3.8539863253742577</c:v>
                </c:pt>
                <c:pt idx="157">
                  <c:v>3.8525009582869205</c:v>
                </c:pt>
                <c:pt idx="158">
                  <c:v>3.8509334166156992</c:v>
                </c:pt>
                <c:pt idx="159">
                  <c:v>3.8495057399632548</c:v>
                </c:pt>
                <c:pt idx="160">
                  <c:v>3.847701456425475</c:v>
                </c:pt>
                <c:pt idx="161">
                  <c:v>3.8467281585431126</c:v>
                </c:pt>
                <c:pt idx="162">
                  <c:v>3.8451986865671866</c:v>
                </c:pt>
                <c:pt idx="163">
                  <c:v>3.8432866709432125</c:v>
                </c:pt>
                <c:pt idx="164">
                  <c:v>3.8413682146580781</c:v>
                </c:pt>
                <c:pt idx="165">
                  <c:v>3.8399690359450549</c:v>
                </c:pt>
                <c:pt idx="166">
                  <c:v>3.8378091613559739</c:v>
                </c:pt>
                <c:pt idx="167">
                  <c:v>3.836074981117767</c:v>
                </c:pt>
                <c:pt idx="168">
                  <c:v>3.8345463806387583</c:v>
                </c:pt>
                <c:pt idx="169">
                  <c:v>3.8322191884476933</c:v>
                </c:pt>
                <c:pt idx="170">
                  <c:v>3.8308704583965025</c:v>
                </c:pt>
                <c:pt idx="171">
                  <c:v>3.8284167073856468</c:v>
                </c:pt>
                <c:pt idx="172">
                  <c:v>3.8269036228795632</c:v>
                </c:pt>
                <c:pt idx="173">
                  <c:v>3.825367532927173</c:v>
                </c:pt>
                <c:pt idx="174">
                  <c:v>3.8233420603679726</c:v>
                </c:pt>
                <c:pt idx="175">
                  <c:v>3.8209278233933763</c:v>
                </c:pt>
                <c:pt idx="176">
                  <c:v>3.8197566906478673</c:v>
                </c:pt>
                <c:pt idx="177">
                  <c:v>3.8176963738598828</c:v>
                </c:pt>
                <c:pt idx="178">
                  <c:v>3.8150143039788551</c:v>
                </c:pt>
                <c:pt idx="179">
                  <c:v>3.8135207974048786</c:v>
                </c:pt>
                <c:pt idx="180">
                  <c:v>3.8109540105677424</c:v>
                </c:pt>
                <c:pt idx="181">
                  <c:v>3.8086406828184449</c:v>
                </c:pt>
                <c:pt idx="182">
                  <c:v>3.8067484721280791</c:v>
                </c:pt>
                <c:pt idx="183">
                  <c:v>3.8044602902963685</c:v>
                </c:pt>
                <c:pt idx="184">
                  <c:v>3.8026884706177997</c:v>
                </c:pt>
                <c:pt idx="185">
                  <c:v>3.8008095724194875</c:v>
                </c:pt>
                <c:pt idx="186">
                  <c:v>3.7983887988283813</c:v>
                </c:pt>
                <c:pt idx="187">
                  <c:v>3.7963518376061609</c:v>
                </c:pt>
                <c:pt idx="188">
                  <c:v>3.7947313384621171</c:v>
                </c:pt>
                <c:pt idx="189">
                  <c:v>3.7919076179416793</c:v>
                </c:pt>
                <c:pt idx="190">
                  <c:v>3.7896896723497959</c:v>
                </c:pt>
                <c:pt idx="191">
                  <c:v>3.7874284916984866</c:v>
                </c:pt>
                <c:pt idx="192">
                  <c:v>3.785522476528683</c:v>
                </c:pt>
                <c:pt idx="193">
                  <c:v>3.7827849529508812</c:v>
                </c:pt>
                <c:pt idx="194">
                  <c:v>3.7808107023385271</c:v>
                </c:pt>
                <c:pt idx="195">
                  <c:v>3.7783501237017583</c:v>
                </c:pt>
                <c:pt idx="196">
                  <c:v>3.7758385980118185</c:v>
                </c:pt>
                <c:pt idx="197">
                  <c:v>3.7736445195526973</c:v>
                </c:pt>
                <c:pt idx="198">
                  <c:v>3.7714997366236811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3EF-4839-BABB-40E87A827B5F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0.23237993595243175</c:v>
                </c:pt>
              </c:numCache>
            </c:numRef>
          </c:xVal>
          <c:yVal>
            <c:numRef>
              <c:f>Portfolio!$L$1</c:f>
              <c:numCache>
                <c:formatCode>0.00</c:formatCode>
                <c:ptCount val="1"/>
                <c:pt idx="0">
                  <c:v>3.8842782689360544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3EF-4839-BABB-40E87A827B5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0.41008688016859701</c:v>
                </c:pt>
                <c:pt idx="1">
                  <c:v>0.37869098382694677</c:v>
                </c:pt>
                <c:pt idx="2">
                  <c:v>0.27926838338872473</c:v>
                </c:pt>
                <c:pt idx="3">
                  <c:v>0.31131751100715133</c:v>
                </c:pt>
              </c:numCache>
            </c:numRef>
          </c:xVal>
          <c:yVal>
            <c:numRef>
              <c:f>'Efficient frontier'!$H$3:$H$55</c:f>
              <c:numCache>
                <c:formatCode>General</c:formatCode>
                <c:ptCount val="53"/>
                <c:pt idx="0">
                  <c:v>1.7890789173657449</c:v>
                </c:pt>
                <c:pt idx="1">
                  <c:v>2.4380692368370878</c:v>
                </c:pt>
                <c:pt idx="2">
                  <c:v>1.7616891535943913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3EF-4839-BABB-40E87A827B5F}"/>
            </c:ext>
          </c:extLst>
        </c:ser>
        <c:dLbls/>
        <c:axId val="161074176"/>
        <c:axId val="160904320"/>
      </c:scatterChart>
      <c:valAx>
        <c:axId val="161074176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60904320"/>
        <c:crosses val="autoZero"/>
        <c:crossBetween val="midCat"/>
      </c:valAx>
      <c:valAx>
        <c:axId val="160904320"/>
        <c:scaling>
          <c:orientation val="minMax"/>
          <c:min val="0"/>
        </c:scaling>
        <c:axPos val="l"/>
        <c:majorGridlines/>
        <c:title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layout>
            <c:manualLayout>
              <c:xMode val="edge"/>
              <c:yMode val="edge"/>
              <c:x val="8.3333333333333367E-3"/>
              <c:y val="0.27435730533683339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0"/>
        <c:tickLblPos val="nextTo"/>
        <c:crossAx val="161074176"/>
        <c:crosses val="autoZero"/>
        <c:crossBetween val="midCat"/>
      </c:valAx>
    </c:plotArea>
    <c:plotVisOnly val="1"/>
    <c:dispBlanksAs val="gap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Portfolio!$Q$1</c:f>
          <c:strCache>
            <c:ptCount val="1"/>
            <c:pt idx="0">
              <c:v>NVD.DE</c:v>
            </c:pt>
          </c:strCache>
        </c:strRef>
      </c:tx>
      <c:layout/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Portfolio!$B$58:$HS$58</c:f>
              <c:numCache>
                <c:formatCode>dd/mm/yyyy</c:formatCode>
                <c:ptCount val="226"/>
                <c:pt idx="0">
                  <c:v>44186</c:v>
                </c:pt>
                <c:pt idx="1">
                  <c:v>44187</c:v>
                </c:pt>
                <c:pt idx="2">
                  <c:v>44188</c:v>
                </c:pt>
                <c:pt idx="3">
                  <c:v>44193</c:v>
                </c:pt>
                <c:pt idx="4">
                  <c:v>44194</c:v>
                </c:pt>
                <c:pt idx="5">
                  <c:v>44200</c:v>
                </c:pt>
                <c:pt idx="6">
                  <c:v>44201</c:v>
                </c:pt>
                <c:pt idx="7">
                  <c:v>44202</c:v>
                </c:pt>
                <c:pt idx="8">
                  <c:v>44203</c:v>
                </c:pt>
                <c:pt idx="9">
                  <c:v>44204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44215</c:v>
                </c:pt>
                <c:pt idx="16">
                  <c:v>44216</c:v>
                </c:pt>
                <c:pt idx="17">
                  <c:v>44217</c:v>
                </c:pt>
                <c:pt idx="18">
                  <c:v>44218</c:v>
                </c:pt>
                <c:pt idx="19">
                  <c:v>44221</c:v>
                </c:pt>
                <c:pt idx="20">
                  <c:v>44222</c:v>
                </c:pt>
                <c:pt idx="21">
                  <c:v>44223</c:v>
                </c:pt>
                <c:pt idx="22">
                  <c:v>44224</c:v>
                </c:pt>
                <c:pt idx="23">
                  <c:v>44225</c:v>
                </c:pt>
                <c:pt idx="24">
                  <c:v>44228</c:v>
                </c:pt>
                <c:pt idx="30">
                  <c:v>44236</c:v>
                </c:pt>
                <c:pt idx="31">
                  <c:v>44237</c:v>
                </c:pt>
                <c:pt idx="32">
                  <c:v>44238</c:v>
                </c:pt>
                <c:pt idx="33">
                  <c:v>44239</c:v>
                </c:pt>
                <c:pt idx="34">
                  <c:v>44243</c:v>
                </c:pt>
                <c:pt idx="35">
                  <c:v>44244</c:v>
                </c:pt>
                <c:pt idx="36">
                  <c:v>44245</c:v>
                </c:pt>
                <c:pt idx="37">
                  <c:v>44246</c:v>
                </c:pt>
                <c:pt idx="38">
                  <c:v>44249</c:v>
                </c:pt>
                <c:pt idx="39">
                  <c:v>44250</c:v>
                </c:pt>
                <c:pt idx="40">
                  <c:v>44251</c:v>
                </c:pt>
                <c:pt idx="41">
                  <c:v>44252</c:v>
                </c:pt>
                <c:pt idx="42">
                  <c:v>44253</c:v>
                </c:pt>
                <c:pt idx="43">
                  <c:v>44256</c:v>
                </c:pt>
                <c:pt idx="44">
                  <c:v>44257</c:v>
                </c:pt>
                <c:pt idx="45">
                  <c:v>44258</c:v>
                </c:pt>
                <c:pt idx="46">
                  <c:v>44259</c:v>
                </c:pt>
                <c:pt idx="47">
                  <c:v>44260</c:v>
                </c:pt>
                <c:pt idx="48">
                  <c:v>44263</c:v>
                </c:pt>
                <c:pt idx="49">
                  <c:v>44264</c:v>
                </c:pt>
                <c:pt idx="50">
                  <c:v>44265</c:v>
                </c:pt>
                <c:pt idx="51">
                  <c:v>44266</c:v>
                </c:pt>
                <c:pt idx="52">
                  <c:v>44267</c:v>
                </c:pt>
                <c:pt idx="53">
                  <c:v>44270</c:v>
                </c:pt>
                <c:pt idx="54">
                  <c:v>44271</c:v>
                </c:pt>
                <c:pt idx="55">
                  <c:v>44272</c:v>
                </c:pt>
                <c:pt idx="56">
                  <c:v>44273</c:v>
                </c:pt>
                <c:pt idx="57">
                  <c:v>44274</c:v>
                </c:pt>
                <c:pt idx="58">
                  <c:v>44277</c:v>
                </c:pt>
                <c:pt idx="59">
                  <c:v>44278</c:v>
                </c:pt>
                <c:pt idx="60">
                  <c:v>44279</c:v>
                </c:pt>
                <c:pt idx="61">
                  <c:v>44280</c:v>
                </c:pt>
                <c:pt idx="62">
                  <c:v>44281</c:v>
                </c:pt>
                <c:pt idx="63">
                  <c:v>44284</c:v>
                </c:pt>
                <c:pt idx="64">
                  <c:v>44285</c:v>
                </c:pt>
                <c:pt idx="65">
                  <c:v>44286</c:v>
                </c:pt>
                <c:pt idx="66">
                  <c:v>44287</c:v>
                </c:pt>
                <c:pt idx="67">
                  <c:v>44292</c:v>
                </c:pt>
                <c:pt idx="68">
                  <c:v>44293</c:v>
                </c:pt>
                <c:pt idx="69">
                  <c:v>44294</c:v>
                </c:pt>
                <c:pt idx="70">
                  <c:v>44295</c:v>
                </c:pt>
                <c:pt idx="71">
                  <c:v>44298</c:v>
                </c:pt>
                <c:pt idx="72">
                  <c:v>44299</c:v>
                </c:pt>
                <c:pt idx="73">
                  <c:v>44300</c:v>
                </c:pt>
                <c:pt idx="74">
                  <c:v>44301</c:v>
                </c:pt>
                <c:pt idx="75">
                  <c:v>44302</c:v>
                </c:pt>
                <c:pt idx="76">
                  <c:v>44305</c:v>
                </c:pt>
                <c:pt idx="77">
                  <c:v>44306</c:v>
                </c:pt>
                <c:pt idx="78">
                  <c:v>44307</c:v>
                </c:pt>
                <c:pt idx="79">
                  <c:v>44308</c:v>
                </c:pt>
                <c:pt idx="80">
                  <c:v>44309</c:v>
                </c:pt>
                <c:pt idx="81">
                  <c:v>44312</c:v>
                </c:pt>
                <c:pt idx="82">
                  <c:v>44313</c:v>
                </c:pt>
                <c:pt idx="83">
                  <c:v>44314</c:v>
                </c:pt>
                <c:pt idx="84">
                  <c:v>44315</c:v>
                </c:pt>
                <c:pt idx="85">
                  <c:v>44316</c:v>
                </c:pt>
                <c:pt idx="86">
                  <c:v>44319</c:v>
                </c:pt>
                <c:pt idx="87">
                  <c:v>44320</c:v>
                </c:pt>
                <c:pt idx="88">
                  <c:v>44321</c:v>
                </c:pt>
                <c:pt idx="89">
                  <c:v>44322</c:v>
                </c:pt>
                <c:pt idx="90">
                  <c:v>44323</c:v>
                </c:pt>
                <c:pt idx="91">
                  <c:v>44326</c:v>
                </c:pt>
                <c:pt idx="92">
                  <c:v>44327</c:v>
                </c:pt>
                <c:pt idx="93">
                  <c:v>44328</c:v>
                </c:pt>
                <c:pt idx="94">
                  <c:v>44330</c:v>
                </c:pt>
                <c:pt idx="95">
                  <c:v>44333</c:v>
                </c:pt>
                <c:pt idx="96">
                  <c:v>44334</c:v>
                </c:pt>
                <c:pt idx="97">
                  <c:v>44335</c:v>
                </c:pt>
                <c:pt idx="98">
                  <c:v>44336</c:v>
                </c:pt>
                <c:pt idx="99">
                  <c:v>44337</c:v>
                </c:pt>
                <c:pt idx="100">
                  <c:v>44341</c:v>
                </c:pt>
                <c:pt idx="101">
                  <c:v>44342</c:v>
                </c:pt>
                <c:pt idx="102">
                  <c:v>44343</c:v>
                </c:pt>
                <c:pt idx="103">
                  <c:v>44344</c:v>
                </c:pt>
                <c:pt idx="104">
                  <c:v>44348</c:v>
                </c:pt>
                <c:pt idx="105">
                  <c:v>44349</c:v>
                </c:pt>
                <c:pt idx="106">
                  <c:v>44350</c:v>
                </c:pt>
                <c:pt idx="107">
                  <c:v>44351</c:v>
                </c:pt>
                <c:pt idx="108">
                  <c:v>44354</c:v>
                </c:pt>
                <c:pt idx="109">
                  <c:v>44355</c:v>
                </c:pt>
                <c:pt idx="110">
                  <c:v>44356</c:v>
                </c:pt>
                <c:pt idx="111">
                  <c:v>44357</c:v>
                </c:pt>
                <c:pt idx="112">
                  <c:v>44358</c:v>
                </c:pt>
                <c:pt idx="113">
                  <c:v>44361</c:v>
                </c:pt>
                <c:pt idx="114">
                  <c:v>44362</c:v>
                </c:pt>
                <c:pt idx="115">
                  <c:v>44363</c:v>
                </c:pt>
                <c:pt idx="116">
                  <c:v>44364</c:v>
                </c:pt>
                <c:pt idx="117">
                  <c:v>44365</c:v>
                </c:pt>
                <c:pt idx="118">
                  <c:v>44368</c:v>
                </c:pt>
                <c:pt idx="119">
                  <c:v>44369</c:v>
                </c:pt>
                <c:pt idx="120">
                  <c:v>44371</c:v>
                </c:pt>
                <c:pt idx="121">
                  <c:v>44372</c:v>
                </c:pt>
                <c:pt idx="122">
                  <c:v>44375</c:v>
                </c:pt>
                <c:pt idx="123">
                  <c:v>44376</c:v>
                </c:pt>
                <c:pt idx="124">
                  <c:v>44377</c:v>
                </c:pt>
                <c:pt idx="125">
                  <c:v>44378</c:v>
                </c:pt>
                <c:pt idx="126">
                  <c:v>44379</c:v>
                </c:pt>
                <c:pt idx="127">
                  <c:v>44383</c:v>
                </c:pt>
                <c:pt idx="128">
                  <c:v>44384</c:v>
                </c:pt>
                <c:pt idx="129">
                  <c:v>44385</c:v>
                </c:pt>
                <c:pt idx="130">
                  <c:v>44386</c:v>
                </c:pt>
                <c:pt idx="131">
                  <c:v>44389</c:v>
                </c:pt>
                <c:pt idx="132">
                  <c:v>44390</c:v>
                </c:pt>
                <c:pt idx="133">
                  <c:v>44391</c:v>
                </c:pt>
                <c:pt idx="134">
                  <c:v>44392</c:v>
                </c:pt>
                <c:pt idx="135">
                  <c:v>44393</c:v>
                </c:pt>
                <c:pt idx="136">
                  <c:v>44396</c:v>
                </c:pt>
                <c:pt idx="137">
                  <c:v>44397</c:v>
                </c:pt>
                <c:pt idx="138">
                  <c:v>44398</c:v>
                </c:pt>
                <c:pt idx="139">
                  <c:v>44399</c:v>
                </c:pt>
                <c:pt idx="140">
                  <c:v>44400</c:v>
                </c:pt>
                <c:pt idx="141">
                  <c:v>44403</c:v>
                </c:pt>
                <c:pt idx="142">
                  <c:v>44404</c:v>
                </c:pt>
                <c:pt idx="143">
                  <c:v>44405</c:v>
                </c:pt>
                <c:pt idx="144">
                  <c:v>44406</c:v>
                </c:pt>
                <c:pt idx="145">
                  <c:v>44407</c:v>
                </c:pt>
                <c:pt idx="146">
                  <c:v>44410</c:v>
                </c:pt>
                <c:pt idx="147">
                  <c:v>44411</c:v>
                </c:pt>
                <c:pt idx="148">
                  <c:v>44412</c:v>
                </c:pt>
                <c:pt idx="149">
                  <c:v>44413</c:v>
                </c:pt>
                <c:pt idx="150">
                  <c:v>44414</c:v>
                </c:pt>
                <c:pt idx="151">
                  <c:v>44417</c:v>
                </c:pt>
                <c:pt idx="152">
                  <c:v>44418</c:v>
                </c:pt>
                <c:pt idx="153">
                  <c:v>44419</c:v>
                </c:pt>
                <c:pt idx="154">
                  <c:v>44420</c:v>
                </c:pt>
                <c:pt idx="155">
                  <c:v>44421</c:v>
                </c:pt>
                <c:pt idx="156">
                  <c:v>44424</c:v>
                </c:pt>
                <c:pt idx="157">
                  <c:v>44425</c:v>
                </c:pt>
                <c:pt idx="158">
                  <c:v>44426</c:v>
                </c:pt>
                <c:pt idx="159">
                  <c:v>44427</c:v>
                </c:pt>
                <c:pt idx="160">
                  <c:v>44428</c:v>
                </c:pt>
                <c:pt idx="161">
                  <c:v>44431</c:v>
                </c:pt>
                <c:pt idx="162">
                  <c:v>44432</c:v>
                </c:pt>
                <c:pt idx="163">
                  <c:v>44433</c:v>
                </c:pt>
                <c:pt idx="164">
                  <c:v>44434</c:v>
                </c:pt>
                <c:pt idx="165">
                  <c:v>44435</c:v>
                </c:pt>
                <c:pt idx="166">
                  <c:v>44438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44446</c:v>
                </c:pt>
                <c:pt idx="172">
                  <c:v>44447</c:v>
                </c:pt>
                <c:pt idx="173">
                  <c:v>44448</c:v>
                </c:pt>
                <c:pt idx="174">
                  <c:v>44449</c:v>
                </c:pt>
                <c:pt idx="175">
                  <c:v>44452</c:v>
                </c:pt>
                <c:pt idx="176">
                  <c:v>44453</c:v>
                </c:pt>
                <c:pt idx="177">
                  <c:v>44454</c:v>
                </c:pt>
                <c:pt idx="178">
                  <c:v>44455</c:v>
                </c:pt>
                <c:pt idx="179">
                  <c:v>44456</c:v>
                </c:pt>
                <c:pt idx="180">
                  <c:v>44459</c:v>
                </c:pt>
                <c:pt idx="181">
                  <c:v>44460</c:v>
                </c:pt>
                <c:pt idx="182">
                  <c:v>44461</c:v>
                </c:pt>
                <c:pt idx="183">
                  <c:v>44462</c:v>
                </c:pt>
                <c:pt idx="184">
                  <c:v>44463</c:v>
                </c:pt>
                <c:pt idx="185">
                  <c:v>44466</c:v>
                </c:pt>
                <c:pt idx="186">
                  <c:v>44467</c:v>
                </c:pt>
                <c:pt idx="187">
                  <c:v>44468</c:v>
                </c:pt>
                <c:pt idx="188">
                  <c:v>44469</c:v>
                </c:pt>
                <c:pt idx="189">
                  <c:v>44470</c:v>
                </c:pt>
                <c:pt idx="190">
                  <c:v>44473</c:v>
                </c:pt>
                <c:pt idx="191">
                  <c:v>44474</c:v>
                </c:pt>
                <c:pt idx="192">
                  <c:v>44475</c:v>
                </c:pt>
                <c:pt idx="193">
                  <c:v>44476</c:v>
                </c:pt>
                <c:pt idx="194">
                  <c:v>44477</c:v>
                </c:pt>
                <c:pt idx="195">
                  <c:v>44480</c:v>
                </c:pt>
                <c:pt idx="196">
                  <c:v>44481</c:v>
                </c:pt>
                <c:pt idx="197">
                  <c:v>44482</c:v>
                </c:pt>
                <c:pt idx="198">
                  <c:v>44483</c:v>
                </c:pt>
                <c:pt idx="199">
                  <c:v>44484</c:v>
                </c:pt>
                <c:pt idx="200">
                  <c:v>44487</c:v>
                </c:pt>
                <c:pt idx="201">
                  <c:v>44488</c:v>
                </c:pt>
                <c:pt idx="202">
                  <c:v>44489</c:v>
                </c:pt>
                <c:pt idx="203">
                  <c:v>44490</c:v>
                </c:pt>
                <c:pt idx="204">
                  <c:v>44491</c:v>
                </c:pt>
                <c:pt idx="205">
                  <c:v>44494</c:v>
                </c:pt>
                <c:pt idx="206">
                  <c:v>44495</c:v>
                </c:pt>
                <c:pt idx="207">
                  <c:v>44496</c:v>
                </c:pt>
                <c:pt idx="208">
                  <c:v>44497</c:v>
                </c:pt>
                <c:pt idx="209">
                  <c:v>44498</c:v>
                </c:pt>
                <c:pt idx="210">
                  <c:v>44502</c:v>
                </c:pt>
                <c:pt idx="211">
                  <c:v>44503</c:v>
                </c:pt>
                <c:pt idx="212">
                  <c:v>44504</c:v>
                </c:pt>
                <c:pt idx="213">
                  <c:v>44505</c:v>
                </c:pt>
                <c:pt idx="214">
                  <c:v>44508</c:v>
                </c:pt>
                <c:pt idx="215">
                  <c:v>44509</c:v>
                </c:pt>
                <c:pt idx="216">
                  <c:v>44510</c:v>
                </c:pt>
                <c:pt idx="217">
                  <c:v>44511</c:v>
                </c:pt>
                <c:pt idx="218">
                  <c:v>44512</c:v>
                </c:pt>
                <c:pt idx="219">
                  <c:v>44515</c:v>
                </c:pt>
                <c:pt idx="220">
                  <c:v>44516</c:v>
                </c:pt>
                <c:pt idx="221">
                  <c:v>44517</c:v>
                </c:pt>
                <c:pt idx="222">
                  <c:v>44518</c:v>
                </c:pt>
                <c:pt idx="223">
                  <c:v>44519</c:v>
                </c:pt>
                <c:pt idx="224">
                  <c:v>44522</c:v>
                </c:pt>
                <c:pt idx="225">
                  <c:v>44523</c:v>
                </c:pt>
              </c:numCache>
            </c:numRef>
          </c:xVal>
          <c:yVal>
            <c:numRef>
              <c:f>Portfolio!$B$59:$HS$59</c:f>
              <c:numCache>
                <c:formatCode>General</c:formatCode>
                <c:ptCount val="226"/>
                <c:pt idx="0">
                  <c:v>107.474998</c:v>
                </c:pt>
                <c:pt idx="1">
                  <c:v>108.324997</c:v>
                </c:pt>
                <c:pt idx="2">
                  <c:v>107.599998</c:v>
                </c:pt>
                <c:pt idx="3">
                  <c:v>105.637497</c:v>
                </c:pt>
                <c:pt idx="4">
                  <c:v>105.675003</c:v>
                </c:pt>
                <c:pt idx="5">
                  <c:v>108.375</c:v>
                </c:pt>
                <c:pt idx="6">
                  <c:v>108.425003</c:v>
                </c:pt>
                <c:pt idx="7">
                  <c:v>106.787498</c:v>
                </c:pt>
                <c:pt idx="8">
                  <c:v>107.449997</c:v>
                </c:pt>
                <c:pt idx="9">
                  <c:v>107.5625</c:v>
                </c:pt>
                <c:pt idx="10">
                  <c:v>113.137497</c:v>
                </c:pt>
                <c:pt idx="11">
                  <c:v>112.175003</c:v>
                </c:pt>
                <c:pt idx="12">
                  <c:v>111.375</c:v>
                </c:pt>
                <c:pt idx="13">
                  <c:v>110.087502</c:v>
                </c:pt>
                <c:pt idx="14">
                  <c:v>107.775002</c:v>
                </c:pt>
                <c:pt idx="15">
                  <c:v>105.9375</c:v>
                </c:pt>
                <c:pt idx="16">
                  <c:v>109.775002</c:v>
                </c:pt>
                <c:pt idx="17">
                  <c:v>112.137497</c:v>
                </c:pt>
                <c:pt idx="18">
                  <c:v>112.074997</c:v>
                </c:pt>
                <c:pt idx="19">
                  <c:v>111.150002</c:v>
                </c:pt>
                <c:pt idx="20">
                  <c:v>111.625</c:v>
                </c:pt>
                <c:pt idx="21">
                  <c:v>107.3125</c:v>
                </c:pt>
                <c:pt idx="22">
                  <c:v>108.362503</c:v>
                </c:pt>
                <c:pt idx="23">
                  <c:v>107.537498</c:v>
                </c:pt>
                <c:pt idx="24">
                  <c:v>107.775002</c:v>
                </c:pt>
                <c:pt idx="30">
                  <c:v>118.712502</c:v>
                </c:pt>
                <c:pt idx="31">
                  <c:v>120.5</c:v>
                </c:pt>
                <c:pt idx="32">
                  <c:v>125.550003</c:v>
                </c:pt>
                <c:pt idx="33">
                  <c:v>125.775002</c:v>
                </c:pt>
                <c:pt idx="34">
                  <c:v>125.25</c:v>
                </c:pt>
                <c:pt idx="35">
                  <c:v>123.137497</c:v>
                </c:pt>
                <c:pt idx="36">
                  <c:v>121.800003</c:v>
                </c:pt>
                <c:pt idx="37">
                  <c:v>124.824997</c:v>
                </c:pt>
                <c:pt idx="38">
                  <c:v>121.737503</c:v>
                </c:pt>
                <c:pt idx="39">
                  <c:v>114.962502</c:v>
                </c:pt>
                <c:pt idx="40">
                  <c:v>116.012497</c:v>
                </c:pt>
                <c:pt idx="41">
                  <c:v>112.974998</c:v>
                </c:pt>
                <c:pt idx="42">
                  <c:v>113.550003</c:v>
                </c:pt>
                <c:pt idx="43">
                  <c:v>114.012497</c:v>
                </c:pt>
                <c:pt idx="44">
                  <c:v>112.900002</c:v>
                </c:pt>
                <c:pt idx="45">
                  <c:v>108.4375</c:v>
                </c:pt>
                <c:pt idx="46">
                  <c:v>105.125</c:v>
                </c:pt>
                <c:pt idx="47">
                  <c:v>99.125</c:v>
                </c:pt>
                <c:pt idx="48">
                  <c:v>102.050003</c:v>
                </c:pt>
                <c:pt idx="49">
                  <c:v>104.287498</c:v>
                </c:pt>
                <c:pt idx="50">
                  <c:v>106.625</c:v>
                </c:pt>
                <c:pt idx="51">
                  <c:v>108.387497</c:v>
                </c:pt>
                <c:pt idx="52">
                  <c:v>106.474998</c:v>
                </c:pt>
                <c:pt idx="53">
                  <c:v>109.125</c:v>
                </c:pt>
                <c:pt idx="54">
                  <c:v>111.9375</c:v>
                </c:pt>
                <c:pt idx="55">
                  <c:v>110.112503</c:v>
                </c:pt>
                <c:pt idx="56">
                  <c:v>109.724998</c:v>
                </c:pt>
                <c:pt idx="57">
                  <c:v>107.987503</c:v>
                </c:pt>
                <c:pt idx="58">
                  <c:v>111.775002</c:v>
                </c:pt>
                <c:pt idx="59">
                  <c:v>111.337502</c:v>
                </c:pt>
                <c:pt idx="60">
                  <c:v>109.037498</c:v>
                </c:pt>
                <c:pt idx="61">
                  <c:v>106.4375</c:v>
                </c:pt>
                <c:pt idx="62">
                  <c:v>106.724998</c:v>
                </c:pt>
                <c:pt idx="63">
                  <c:v>108.487503</c:v>
                </c:pt>
                <c:pt idx="64">
                  <c:v>110.4375</c:v>
                </c:pt>
                <c:pt idx="65">
                  <c:v>113.137497</c:v>
                </c:pt>
                <c:pt idx="66">
                  <c:v>116.324997</c:v>
                </c:pt>
                <c:pt idx="67">
                  <c:v>118.349998</c:v>
                </c:pt>
                <c:pt idx="68">
                  <c:v>117.525002</c:v>
                </c:pt>
                <c:pt idx="69">
                  <c:v>120.775002</c:v>
                </c:pt>
                <c:pt idx="70">
                  <c:v>120.349998</c:v>
                </c:pt>
                <c:pt idx="71">
                  <c:v>119.675003</c:v>
                </c:pt>
                <c:pt idx="72">
                  <c:v>130</c:v>
                </c:pt>
                <c:pt idx="73">
                  <c:v>129.550003</c:v>
                </c:pt>
                <c:pt idx="74">
                  <c:v>133.22500600000001</c:v>
                </c:pt>
                <c:pt idx="75">
                  <c:v>133.125</c:v>
                </c:pt>
                <c:pt idx="76">
                  <c:v>128.449997</c:v>
                </c:pt>
                <c:pt idx="77">
                  <c:v>124.724998</c:v>
                </c:pt>
                <c:pt idx="78">
                  <c:v>126.949997</c:v>
                </c:pt>
                <c:pt idx="79">
                  <c:v>127.199997</c:v>
                </c:pt>
                <c:pt idx="80">
                  <c:v>125.775002</c:v>
                </c:pt>
                <c:pt idx="81">
                  <c:v>127.400002</c:v>
                </c:pt>
                <c:pt idx="82">
                  <c:v>127.525002</c:v>
                </c:pt>
                <c:pt idx="83">
                  <c:v>126.425003</c:v>
                </c:pt>
                <c:pt idx="84">
                  <c:v>125.775002</c:v>
                </c:pt>
                <c:pt idx="85">
                  <c:v>126.275002</c:v>
                </c:pt>
                <c:pt idx="86">
                  <c:v>123.400002</c:v>
                </c:pt>
                <c:pt idx="87">
                  <c:v>117.125</c:v>
                </c:pt>
                <c:pt idx="88">
                  <c:v>122.699997</c:v>
                </c:pt>
                <c:pt idx="89">
                  <c:v>119.887497</c:v>
                </c:pt>
                <c:pt idx="90">
                  <c:v>122.412498</c:v>
                </c:pt>
                <c:pt idx="91">
                  <c:v>118.474998</c:v>
                </c:pt>
                <c:pt idx="92">
                  <c:v>116.75</c:v>
                </c:pt>
                <c:pt idx="93">
                  <c:v>115.862503</c:v>
                </c:pt>
                <c:pt idx="94">
                  <c:v>116.0625</c:v>
                </c:pt>
                <c:pt idx="95">
                  <c:v>115.3125</c:v>
                </c:pt>
                <c:pt idx="96">
                  <c:v>116.362503</c:v>
                </c:pt>
                <c:pt idx="97">
                  <c:v>113.025002</c:v>
                </c:pt>
                <c:pt idx="98">
                  <c:v>119.387497</c:v>
                </c:pt>
                <c:pt idx="99">
                  <c:v>122.537498</c:v>
                </c:pt>
                <c:pt idx="100">
                  <c:v>126.849998</c:v>
                </c:pt>
                <c:pt idx="101">
                  <c:v>127.875</c:v>
                </c:pt>
                <c:pt idx="102">
                  <c:v>128.14999399999999</c:v>
                </c:pt>
                <c:pt idx="103">
                  <c:v>132.199997</c:v>
                </c:pt>
                <c:pt idx="104">
                  <c:v>131.35000600000001</c:v>
                </c:pt>
                <c:pt idx="105">
                  <c:v>137.47500600000001</c:v>
                </c:pt>
                <c:pt idx="106">
                  <c:v>139.050003</c:v>
                </c:pt>
                <c:pt idx="107">
                  <c:v>144.39999399999999</c:v>
                </c:pt>
                <c:pt idx="108">
                  <c:v>142.125</c:v>
                </c:pt>
                <c:pt idx="109">
                  <c:v>142.324997</c:v>
                </c:pt>
                <c:pt idx="110">
                  <c:v>142.449997</c:v>
                </c:pt>
                <c:pt idx="111">
                  <c:v>142.925003</c:v>
                </c:pt>
                <c:pt idx="112">
                  <c:v>146.300003</c:v>
                </c:pt>
                <c:pt idx="113">
                  <c:v>147.27499399999999</c:v>
                </c:pt>
                <c:pt idx="114">
                  <c:v>147.175003</c:v>
                </c:pt>
                <c:pt idx="115">
                  <c:v>147.25</c:v>
                </c:pt>
                <c:pt idx="116">
                  <c:v>156.97500600000001</c:v>
                </c:pt>
                <c:pt idx="117">
                  <c:v>160.925003</c:v>
                </c:pt>
                <c:pt idx="118">
                  <c:v>151</c:v>
                </c:pt>
                <c:pt idx="119">
                  <c:v>157.824997</c:v>
                </c:pt>
                <c:pt idx="120">
                  <c:v>161.97500600000001</c:v>
                </c:pt>
                <c:pt idx="121">
                  <c:v>159.77499399999999</c:v>
                </c:pt>
                <c:pt idx="122">
                  <c:v>167.5</c:v>
                </c:pt>
                <c:pt idx="123">
                  <c:v>166.699997</c:v>
                </c:pt>
                <c:pt idx="124">
                  <c:v>167.85000600000001</c:v>
                </c:pt>
                <c:pt idx="125">
                  <c:v>169.5</c:v>
                </c:pt>
                <c:pt idx="126">
                  <c:v>172.22500600000001</c:v>
                </c:pt>
                <c:pt idx="127">
                  <c:v>175</c:v>
                </c:pt>
                <c:pt idx="128">
                  <c:v>172.85000600000001</c:v>
                </c:pt>
                <c:pt idx="129">
                  <c:v>168.175003</c:v>
                </c:pt>
                <c:pt idx="130">
                  <c:v>168.300003</c:v>
                </c:pt>
                <c:pt idx="131">
                  <c:v>171.925003</c:v>
                </c:pt>
                <c:pt idx="132">
                  <c:v>172.14999399999999</c:v>
                </c:pt>
                <c:pt idx="133">
                  <c:v>168.550003</c:v>
                </c:pt>
                <c:pt idx="134">
                  <c:v>164.85000600000001</c:v>
                </c:pt>
                <c:pt idx="135">
                  <c:v>157.14999399999999</c:v>
                </c:pt>
                <c:pt idx="136">
                  <c:v>160.199997</c:v>
                </c:pt>
                <c:pt idx="137">
                  <c:v>157.08000200000001</c:v>
                </c:pt>
                <c:pt idx="138">
                  <c:v>165.03999300000001</c:v>
                </c:pt>
                <c:pt idx="139">
                  <c:v>164.38000500000001</c:v>
                </c:pt>
                <c:pt idx="140">
                  <c:v>165.240005</c:v>
                </c:pt>
                <c:pt idx="141">
                  <c:v>163.520004</c:v>
                </c:pt>
                <c:pt idx="142">
                  <c:v>160.16000399999999</c:v>
                </c:pt>
                <c:pt idx="143">
                  <c:v>164.5</c:v>
                </c:pt>
                <c:pt idx="144">
                  <c:v>166.300003</c:v>
                </c:pt>
                <c:pt idx="145">
                  <c:v>163.86000100000001</c:v>
                </c:pt>
                <c:pt idx="146">
                  <c:v>166.94000199999999</c:v>
                </c:pt>
                <c:pt idx="147">
                  <c:v>163.83999600000001</c:v>
                </c:pt>
                <c:pt idx="148">
                  <c:v>170.08000200000001</c:v>
                </c:pt>
                <c:pt idx="149">
                  <c:v>173.55999800000001</c:v>
                </c:pt>
                <c:pt idx="150">
                  <c:v>173.179993</c:v>
                </c:pt>
                <c:pt idx="151">
                  <c:v>173.179993</c:v>
                </c:pt>
                <c:pt idx="152">
                  <c:v>170.36000100000001</c:v>
                </c:pt>
                <c:pt idx="153">
                  <c:v>166.759995</c:v>
                </c:pt>
                <c:pt idx="154">
                  <c:v>170.16000399999999</c:v>
                </c:pt>
                <c:pt idx="155">
                  <c:v>170.36000100000001</c:v>
                </c:pt>
                <c:pt idx="156">
                  <c:v>166.679993</c:v>
                </c:pt>
                <c:pt idx="157">
                  <c:v>166.61999499999999</c:v>
                </c:pt>
                <c:pt idx="158">
                  <c:v>165.479996</c:v>
                </c:pt>
                <c:pt idx="159">
                  <c:v>172.740005</c:v>
                </c:pt>
                <c:pt idx="160">
                  <c:v>174.740005</c:v>
                </c:pt>
                <c:pt idx="161">
                  <c:v>184.63999899999999</c:v>
                </c:pt>
                <c:pt idx="162">
                  <c:v>185.020004</c:v>
                </c:pt>
                <c:pt idx="163">
                  <c:v>190.44000199999999</c:v>
                </c:pt>
                <c:pt idx="164">
                  <c:v>187.220001</c:v>
                </c:pt>
                <c:pt idx="165">
                  <c:v>190.61999499999999</c:v>
                </c:pt>
                <c:pt idx="166">
                  <c:v>192</c:v>
                </c:pt>
                <c:pt idx="167">
                  <c:v>189.89999399999999</c:v>
                </c:pt>
                <c:pt idx="168">
                  <c:v>190.11999499999999</c:v>
                </c:pt>
                <c:pt idx="169">
                  <c:v>190.39999399999999</c:v>
                </c:pt>
                <c:pt idx="170">
                  <c:v>192.479996</c:v>
                </c:pt>
                <c:pt idx="171">
                  <c:v>192.13999899999999</c:v>
                </c:pt>
                <c:pt idx="172">
                  <c:v>187.39999399999999</c:v>
                </c:pt>
                <c:pt idx="173">
                  <c:v>188.91999799999999</c:v>
                </c:pt>
                <c:pt idx="174">
                  <c:v>189.259995</c:v>
                </c:pt>
                <c:pt idx="175">
                  <c:v>187.279999</c:v>
                </c:pt>
                <c:pt idx="176">
                  <c:v>188.779999</c:v>
                </c:pt>
                <c:pt idx="177">
                  <c:v>186.479996</c:v>
                </c:pt>
                <c:pt idx="178">
                  <c:v>187.08000200000001</c:v>
                </c:pt>
                <c:pt idx="179">
                  <c:v>187.46000699999999</c:v>
                </c:pt>
                <c:pt idx="180">
                  <c:v>180</c:v>
                </c:pt>
                <c:pt idx="181">
                  <c:v>181.94000199999999</c:v>
                </c:pt>
                <c:pt idx="182">
                  <c:v>184.800003</c:v>
                </c:pt>
                <c:pt idx="183">
                  <c:v>189.740005</c:v>
                </c:pt>
                <c:pt idx="184">
                  <c:v>186.699997</c:v>
                </c:pt>
                <c:pt idx="185">
                  <c:v>184.46000699999999</c:v>
                </c:pt>
                <c:pt idx="186">
                  <c:v>178</c:v>
                </c:pt>
                <c:pt idx="187">
                  <c:v>177.05999800000001</c:v>
                </c:pt>
                <c:pt idx="188">
                  <c:v>179.979996</c:v>
                </c:pt>
                <c:pt idx="189">
                  <c:v>177.020004</c:v>
                </c:pt>
                <c:pt idx="190">
                  <c:v>170.740005</c:v>
                </c:pt>
                <c:pt idx="191">
                  <c:v>176</c:v>
                </c:pt>
                <c:pt idx="192">
                  <c:v>177.44000199999999</c:v>
                </c:pt>
                <c:pt idx="193">
                  <c:v>183.38000500000001</c:v>
                </c:pt>
                <c:pt idx="194">
                  <c:v>181.300003</c:v>
                </c:pt>
                <c:pt idx="195">
                  <c:v>181.199997</c:v>
                </c:pt>
                <c:pt idx="196">
                  <c:v>179.61999499999999</c:v>
                </c:pt>
                <c:pt idx="197">
                  <c:v>179.33999600000001</c:v>
                </c:pt>
                <c:pt idx="198">
                  <c:v>185.740005</c:v>
                </c:pt>
                <c:pt idx="199">
                  <c:v>188.33999600000001</c:v>
                </c:pt>
                <c:pt idx="200">
                  <c:v>190.699997</c:v>
                </c:pt>
                <c:pt idx="201">
                  <c:v>191.36000100000001</c:v>
                </c:pt>
                <c:pt idx="202">
                  <c:v>190.36000100000001</c:v>
                </c:pt>
                <c:pt idx="203">
                  <c:v>192.679993</c:v>
                </c:pt>
                <c:pt idx="204">
                  <c:v>195.58000200000001</c:v>
                </c:pt>
                <c:pt idx="205">
                  <c:v>198.179993</c:v>
                </c:pt>
                <c:pt idx="206">
                  <c:v>213.550003</c:v>
                </c:pt>
                <c:pt idx="207">
                  <c:v>214.449997</c:v>
                </c:pt>
                <c:pt idx="208">
                  <c:v>211.14999399999999</c:v>
                </c:pt>
                <c:pt idx="209">
                  <c:v>219.800003</c:v>
                </c:pt>
                <c:pt idx="210">
                  <c:v>228.949997</c:v>
                </c:pt>
                <c:pt idx="211">
                  <c:v>228.25</c:v>
                </c:pt>
                <c:pt idx="212">
                  <c:v>254.5</c:v>
                </c:pt>
                <c:pt idx="213">
                  <c:v>264.10000600000001</c:v>
                </c:pt>
                <c:pt idx="214">
                  <c:v>266.60000600000001</c:v>
                </c:pt>
                <c:pt idx="215">
                  <c:v>271.89999399999999</c:v>
                </c:pt>
                <c:pt idx="216">
                  <c:v>259.54998799999998</c:v>
                </c:pt>
                <c:pt idx="217">
                  <c:v>262.75</c:v>
                </c:pt>
                <c:pt idx="218">
                  <c:v>266.79998799999998</c:v>
                </c:pt>
                <c:pt idx="219">
                  <c:v>262.14999399999999</c:v>
                </c:pt>
                <c:pt idx="220">
                  <c:v>267.20001200000002</c:v>
                </c:pt>
                <c:pt idx="221">
                  <c:v>265.79998799999998</c:v>
                </c:pt>
                <c:pt idx="222">
                  <c:v>284.5</c:v>
                </c:pt>
                <c:pt idx="223">
                  <c:v>288</c:v>
                </c:pt>
                <c:pt idx="224">
                  <c:v>295.79998799999998</c:v>
                </c:pt>
                <c:pt idx="225">
                  <c:v>278.64999399999999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1CC-4E94-A3E5-6F2D77441F13}"/>
            </c:ext>
          </c:extLst>
        </c:ser>
        <c:dLbls/>
        <c:axId val="160923648"/>
        <c:axId val="160925184"/>
      </c:scatterChart>
      <c:valAx>
        <c:axId val="160923648"/>
        <c:scaling>
          <c:orientation val="minMax"/>
        </c:scaling>
        <c:axPos val="b"/>
        <c:numFmt formatCode="dd/mm/yyyy" sourceLinked="1"/>
        <c:tickLblPos val="nextTo"/>
        <c:crossAx val="160925184"/>
        <c:crosses val="autoZero"/>
        <c:crossBetween val="midCat"/>
        <c:majorUnit val="100"/>
      </c:valAx>
      <c:valAx>
        <c:axId val="160925184"/>
        <c:scaling>
          <c:orientation val="minMax"/>
        </c:scaling>
        <c:axPos val="l"/>
        <c:majorGridlines/>
        <c:numFmt formatCode="General" sourceLinked="1"/>
        <c:tickLblPos val="nextTo"/>
        <c:crossAx val="160923648"/>
        <c:crosses val="autoZero"/>
        <c:crossBetween val="midCat"/>
      </c:valAx>
    </c:plotArea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0" dropStyle="combo" dx="16" fmlaLink="$R$1" fmlaRange="$A$2:$A$55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294333</xdr:colOff>
      <xdr:row>15</xdr:row>
      <xdr:rowOff>183334</xdr:rowOff>
    </xdr:to>
    <xdr:graphicFrame macro="">
      <xdr:nvGraphicFramePr>
        <xdr:cNvPr id="5" name="Diagramma 1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16</xdr:row>
      <xdr:rowOff>0</xdr:rowOff>
    </xdr:from>
    <xdr:to>
      <xdr:col>22</xdr:col>
      <xdr:colOff>294333</xdr:colOff>
      <xdr:row>30</xdr:row>
      <xdr:rowOff>183333</xdr:rowOff>
    </xdr:to>
    <xdr:graphicFrame macro="">
      <xdr:nvGraphicFramePr>
        <xdr:cNvPr id="6" name="Diagramma 1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338665</xdr:colOff>
      <xdr:row>1</xdr:row>
      <xdr:rowOff>15119</xdr:rowOff>
    </xdr:from>
    <xdr:to>
      <xdr:col>30</xdr:col>
      <xdr:colOff>2535</xdr:colOff>
      <xdr:row>16</xdr:row>
      <xdr:rowOff>10976</xdr:rowOff>
    </xdr:to>
    <xdr:graphicFrame macro="">
      <xdr:nvGraphicFramePr>
        <xdr:cNvPr id="9" name="Diagramma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JI61"/>
  <sheetViews>
    <sheetView tabSelected="1" zoomScale="90" zoomScaleNormal="90" workbookViewId="0">
      <selection activeCell="K27" sqref="K27"/>
    </sheetView>
  </sheetViews>
  <sheetFormatPr defaultColWidth="9.15234375" defaultRowHeight="14.6"/>
  <cols>
    <col min="2" max="2" width="10" bestFit="1" customWidth="1"/>
    <col min="3" max="3" width="11.69140625" bestFit="1" customWidth="1"/>
    <col min="4" max="4" width="11.84375" bestFit="1" customWidth="1"/>
    <col min="5" max="5" width="7.15234375" style="8" bestFit="1" customWidth="1"/>
    <col min="6" max="6" width="16.3046875" bestFit="1" customWidth="1"/>
    <col min="7" max="10" width="2.15234375" customWidth="1"/>
    <col min="11" max="11" width="15.15234375" bestFit="1" customWidth="1"/>
    <col min="12" max="12" width="9.3046875" bestFit="1" customWidth="1"/>
    <col min="13" max="13" width="11" bestFit="1" customWidth="1"/>
    <col min="14" max="14" width="7.3828125" bestFit="1" customWidth="1"/>
    <col min="15" max="15" width="13.3046875" bestFit="1" customWidth="1"/>
  </cols>
  <sheetData>
    <row r="1" spans="1:26">
      <c r="A1" t="s">
        <v>15</v>
      </c>
      <c r="B1" s="1" t="s">
        <v>21</v>
      </c>
      <c r="C1" s="4" t="s">
        <v>17</v>
      </c>
      <c r="D1" s="4" t="s">
        <v>18</v>
      </c>
      <c r="E1" s="10" t="s">
        <v>11</v>
      </c>
      <c r="F1" t="s">
        <v>7</v>
      </c>
      <c r="G1" s="1"/>
      <c r="H1" s="1"/>
      <c r="I1" s="1"/>
      <c r="J1" s="1"/>
      <c r="K1" s="1" t="s">
        <v>1</v>
      </c>
      <c r="L1" s="33">
        <v>3.8842782689360544</v>
      </c>
      <c r="M1" s="4" t="s">
        <v>22</v>
      </c>
      <c r="N1" t="s">
        <v>15</v>
      </c>
      <c r="O1" t="s">
        <v>14</v>
      </c>
      <c r="P1" t="s">
        <v>22</v>
      </c>
      <c r="Q1" t="str">
        <f>INDEX(A2:A55,R1)</f>
        <v>NVD.DE</v>
      </c>
      <c r="R1">
        <v>1</v>
      </c>
      <c r="Z1" s="59"/>
    </row>
    <row r="2" spans="1:26">
      <c r="A2" s="18" t="s">
        <v>20</v>
      </c>
      <c r="B2" s="14" t="s">
        <v>4</v>
      </c>
      <c r="C2" s="23">
        <v>0</v>
      </c>
      <c r="D2" s="23">
        <v>1</v>
      </c>
      <c r="E2" s="26">
        <v>3.3188436380185502</v>
      </c>
      <c r="F2" s="29">
        <v>0.38496479170747283</v>
      </c>
      <c r="G2" s="5"/>
      <c r="H2" s="1"/>
      <c r="I2" s="1"/>
      <c r="J2" s="1"/>
      <c r="K2" t="s">
        <v>16</v>
      </c>
      <c r="L2" s="34">
        <v>0.90262833535678277</v>
      </c>
      <c r="M2" s="3"/>
      <c r="N2" s="35" t="str">
        <f>IFERROR(IF(O2&gt;0,INDEX($A$2:$A$55,MATCH(O2,$F$2:$F$55,0)),""),"")</f>
        <v>NVD.DE</v>
      </c>
      <c r="O2" s="36">
        <f t="shared" ref="O2:O5" si="0">IFERROR(IF(LARGE($F$2:$F$55,ROW()-1)=0,"",LARGE($F$2:$F$55,ROW()-1)),"")</f>
        <v>0.38496479170747283</v>
      </c>
      <c r="Z2" s="59"/>
    </row>
    <row r="3" spans="1:26">
      <c r="A3" s="19" t="s">
        <v>0</v>
      </c>
      <c r="B3" s="15" t="s">
        <v>4</v>
      </c>
      <c r="C3" s="24">
        <v>0</v>
      </c>
      <c r="D3" s="24">
        <v>1</v>
      </c>
      <c r="E3" s="27">
        <v>1.7890789173657449</v>
      </c>
      <c r="F3" s="30">
        <v>7.3600212384197991E-2</v>
      </c>
      <c r="G3" s="5"/>
      <c r="H3" s="1"/>
      <c r="I3" s="1"/>
      <c r="J3" s="1"/>
      <c r="K3" s="2" t="s">
        <v>8</v>
      </c>
      <c r="L3" s="34">
        <v>0.12000000000000009</v>
      </c>
      <c r="M3" s="3"/>
      <c r="N3" s="37" t="str">
        <f t="shared" ref="N3:N55" si="1">IFERROR(IF(O3&gt;0,INDEX($A$2:$A$55,MATCH(O3,$F$2:$F$55,0)),""),"")</f>
        <v>A2JKSP</v>
      </c>
      <c r="O3" s="38">
        <f t="shared" si="0"/>
        <v>0.30075192229768316</v>
      </c>
      <c r="Z3" s="59"/>
    </row>
    <row r="4" spans="1:26">
      <c r="A4" s="19" t="s">
        <v>2</v>
      </c>
      <c r="B4" s="16" t="s">
        <v>9</v>
      </c>
      <c r="C4" s="24">
        <v>0</v>
      </c>
      <c r="D4" s="24">
        <v>1</v>
      </c>
      <c r="E4" s="27">
        <v>2.4380692368370878</v>
      </c>
      <c r="F4" s="30">
        <v>0.240683073610646</v>
      </c>
      <c r="G4" s="5"/>
      <c r="H4" s="1"/>
      <c r="I4" s="1"/>
      <c r="J4" s="1"/>
      <c r="K4" s="2" t="s">
        <v>5</v>
      </c>
      <c r="L4" s="34">
        <v>0.23237993595243175</v>
      </c>
      <c r="M4" s="3"/>
      <c r="N4" s="37" t="str">
        <f t="shared" si="1"/>
        <v>HAFX4V</v>
      </c>
      <c r="O4" s="38">
        <f t="shared" si="0"/>
        <v>0.240683073610646</v>
      </c>
      <c r="Z4" s="59"/>
    </row>
    <row r="5" spans="1:26">
      <c r="A5" s="19" t="s">
        <v>3</v>
      </c>
      <c r="B5" s="16" t="s">
        <v>10</v>
      </c>
      <c r="C5" s="24">
        <v>0</v>
      </c>
      <c r="D5" s="24">
        <v>1</v>
      </c>
      <c r="E5" s="27">
        <v>1.7616891535943913</v>
      </c>
      <c r="F5" s="30">
        <v>0.30075192229768316</v>
      </c>
      <c r="G5" s="5"/>
      <c r="H5" s="1"/>
      <c r="I5" s="1"/>
      <c r="J5" s="1"/>
      <c r="L5" s="3"/>
      <c r="M5" s="3"/>
      <c r="N5" s="37" t="str">
        <f t="shared" si="1"/>
        <v>ASML</v>
      </c>
      <c r="O5" s="38">
        <f t="shared" si="0"/>
        <v>7.3600212384197991E-2</v>
      </c>
    </row>
    <row r="6" spans="1:26">
      <c r="A6" s="19"/>
      <c r="B6" s="15"/>
      <c r="C6" s="24"/>
      <c r="D6" s="24"/>
      <c r="E6" s="27"/>
      <c r="F6" s="30"/>
      <c r="G6" s="5"/>
      <c r="H6" s="1"/>
      <c r="I6" s="1"/>
      <c r="J6" s="1"/>
      <c r="K6" s="2"/>
      <c r="L6" s="3"/>
      <c r="M6" s="3"/>
      <c r="N6" s="37" t="str">
        <f t="shared" si="1"/>
        <v/>
      </c>
      <c r="O6" s="38" t="str">
        <f>IFERROR(IF(LARGE($F$2:$F$55,ROW()-1)=0,"",LARGE($F$2:$F$55,ROW()-1)),"")</f>
        <v/>
      </c>
    </row>
    <row r="7" spans="1:26">
      <c r="A7" s="19"/>
      <c r="B7" s="16"/>
      <c r="C7" s="24"/>
      <c r="D7" s="24"/>
      <c r="E7" s="27"/>
      <c r="F7" s="31"/>
      <c r="N7" s="37" t="str">
        <f t="shared" si="1"/>
        <v/>
      </c>
      <c r="O7" s="38" t="str">
        <f t="shared" ref="O7:O55" si="2">IFERROR(IF(LARGE($F$2:$F$55,ROW()-1)=0,"",LARGE($F$2:$F$55,ROW()-1)),"")</f>
        <v/>
      </c>
    </row>
    <row r="8" spans="1:26">
      <c r="A8" s="19"/>
      <c r="B8" s="16"/>
      <c r="C8" s="24"/>
      <c r="D8" s="24"/>
      <c r="E8" s="27"/>
      <c r="F8" s="31"/>
      <c r="N8" s="37" t="str">
        <f t="shared" si="1"/>
        <v/>
      </c>
      <c r="O8" s="38" t="str">
        <f t="shared" si="2"/>
        <v/>
      </c>
    </row>
    <row r="9" spans="1:26">
      <c r="A9" s="19"/>
      <c r="B9" s="16"/>
      <c r="C9" s="24"/>
      <c r="D9" s="24"/>
      <c r="E9" s="27"/>
      <c r="F9" s="31"/>
      <c r="N9" s="39" t="str">
        <f t="shared" si="1"/>
        <v/>
      </c>
      <c r="O9" s="38" t="str">
        <f t="shared" si="2"/>
        <v/>
      </c>
    </row>
    <row r="10" spans="1:26">
      <c r="A10" s="19"/>
      <c r="B10" s="16"/>
      <c r="C10" s="24"/>
      <c r="D10" s="24"/>
      <c r="E10" s="27"/>
      <c r="F10" s="31"/>
      <c r="N10" s="39" t="str">
        <f t="shared" si="1"/>
        <v/>
      </c>
      <c r="O10" s="38" t="str">
        <f t="shared" si="2"/>
        <v/>
      </c>
    </row>
    <row r="11" spans="1:26">
      <c r="A11" s="19"/>
      <c r="B11" s="16"/>
      <c r="C11" s="24"/>
      <c r="D11" s="24"/>
      <c r="E11" s="27"/>
      <c r="F11" s="31"/>
      <c r="N11" s="39" t="str">
        <f t="shared" si="1"/>
        <v/>
      </c>
      <c r="O11" s="38" t="str">
        <f t="shared" si="2"/>
        <v/>
      </c>
    </row>
    <row r="12" spans="1:26">
      <c r="A12" s="19"/>
      <c r="B12" s="16"/>
      <c r="C12" s="24"/>
      <c r="D12" s="24"/>
      <c r="E12" s="27"/>
      <c r="F12" s="31"/>
      <c r="N12" s="39" t="str">
        <f t="shared" si="1"/>
        <v/>
      </c>
      <c r="O12" s="38" t="str">
        <f t="shared" si="2"/>
        <v/>
      </c>
    </row>
    <row r="13" spans="1:26">
      <c r="A13" s="20"/>
      <c r="B13" s="16"/>
      <c r="C13" s="24"/>
      <c r="D13" s="24"/>
      <c r="E13" s="27"/>
      <c r="F13" s="31"/>
      <c r="N13" s="39" t="str">
        <f t="shared" si="1"/>
        <v/>
      </c>
      <c r="O13" s="38" t="str">
        <f t="shared" si="2"/>
        <v/>
      </c>
    </row>
    <row r="14" spans="1:26">
      <c r="A14" s="60"/>
      <c r="B14" s="15"/>
      <c r="C14" s="24"/>
      <c r="D14" s="24"/>
      <c r="E14" s="27"/>
      <c r="F14" s="31"/>
      <c r="N14" s="39" t="str">
        <f t="shared" si="1"/>
        <v/>
      </c>
      <c r="O14" s="38" t="str">
        <f t="shared" si="2"/>
        <v/>
      </c>
    </row>
    <row r="15" spans="1:26">
      <c r="A15" s="61"/>
      <c r="B15" s="16"/>
      <c r="C15" s="24"/>
      <c r="D15" s="24"/>
      <c r="E15" s="27"/>
      <c r="F15" s="31"/>
      <c r="N15" s="39" t="str">
        <f t="shared" si="1"/>
        <v/>
      </c>
      <c r="O15" s="38" t="str">
        <f t="shared" si="2"/>
        <v/>
      </c>
    </row>
    <row r="16" spans="1:26">
      <c r="A16" s="21"/>
      <c r="B16" s="16"/>
      <c r="C16" s="24"/>
      <c r="D16" s="24"/>
      <c r="E16" s="27"/>
      <c r="F16" s="31"/>
      <c r="N16" s="39" t="str">
        <f t="shared" si="1"/>
        <v/>
      </c>
      <c r="O16" s="38" t="str">
        <f t="shared" si="2"/>
        <v/>
      </c>
    </row>
    <row r="17" spans="1:15">
      <c r="A17" s="21"/>
      <c r="B17" s="16"/>
      <c r="C17" s="24"/>
      <c r="D17" s="24"/>
      <c r="E17" s="27"/>
      <c r="F17" s="31"/>
      <c r="N17" s="39" t="str">
        <f t="shared" si="1"/>
        <v/>
      </c>
      <c r="O17" s="38" t="str">
        <f t="shared" si="2"/>
        <v/>
      </c>
    </row>
    <row r="18" spans="1:15">
      <c r="A18" s="21"/>
      <c r="B18" s="16"/>
      <c r="C18" s="24"/>
      <c r="D18" s="24"/>
      <c r="E18" s="27"/>
      <c r="F18" s="31"/>
      <c r="N18" s="39" t="str">
        <f t="shared" si="1"/>
        <v/>
      </c>
      <c r="O18" s="38" t="str">
        <f t="shared" si="2"/>
        <v/>
      </c>
    </row>
    <row r="19" spans="1:15">
      <c r="A19" s="21"/>
      <c r="B19" s="16"/>
      <c r="C19" s="24"/>
      <c r="D19" s="24"/>
      <c r="E19" s="27"/>
      <c r="F19" s="31"/>
      <c r="N19" s="39" t="str">
        <f t="shared" si="1"/>
        <v/>
      </c>
      <c r="O19" s="38" t="str">
        <f t="shared" si="2"/>
        <v/>
      </c>
    </row>
    <row r="20" spans="1:15">
      <c r="A20" s="21"/>
      <c r="B20" s="16"/>
      <c r="C20" s="24"/>
      <c r="D20" s="24"/>
      <c r="E20" s="27"/>
      <c r="F20" s="31"/>
      <c r="N20" s="39" t="str">
        <f t="shared" si="1"/>
        <v/>
      </c>
      <c r="O20" s="38" t="str">
        <f t="shared" si="2"/>
        <v/>
      </c>
    </row>
    <row r="21" spans="1:15">
      <c r="A21" s="21"/>
      <c r="B21" s="16"/>
      <c r="C21" s="24"/>
      <c r="D21" s="24"/>
      <c r="E21" s="27"/>
      <c r="F21" s="31"/>
      <c r="N21" s="39" t="str">
        <f t="shared" si="1"/>
        <v/>
      </c>
      <c r="O21" s="38" t="str">
        <f t="shared" si="2"/>
        <v/>
      </c>
    </row>
    <row r="22" spans="1:15">
      <c r="A22" s="21"/>
      <c r="B22" s="16"/>
      <c r="C22" s="24"/>
      <c r="D22" s="24"/>
      <c r="E22" s="27"/>
      <c r="F22" s="31"/>
      <c r="N22" s="39" t="str">
        <f t="shared" si="1"/>
        <v/>
      </c>
      <c r="O22" s="38" t="str">
        <f t="shared" si="2"/>
        <v/>
      </c>
    </row>
    <row r="23" spans="1:15">
      <c r="A23" s="21"/>
      <c r="B23" s="16"/>
      <c r="C23" s="24"/>
      <c r="D23" s="24"/>
      <c r="E23" s="27"/>
      <c r="F23" s="31"/>
      <c r="L23" s="12"/>
      <c r="N23" s="39" t="str">
        <f t="shared" si="1"/>
        <v/>
      </c>
      <c r="O23" s="38" t="str">
        <f t="shared" si="2"/>
        <v/>
      </c>
    </row>
    <row r="24" spans="1:15">
      <c r="A24" s="21"/>
      <c r="B24" s="16"/>
      <c r="C24" s="24"/>
      <c r="D24" s="24"/>
      <c r="E24" s="27"/>
      <c r="F24" s="31"/>
      <c r="N24" s="39" t="str">
        <f t="shared" si="1"/>
        <v/>
      </c>
      <c r="O24" s="38" t="str">
        <f t="shared" si="2"/>
        <v/>
      </c>
    </row>
    <row r="25" spans="1:15">
      <c r="A25" s="21"/>
      <c r="B25" s="16"/>
      <c r="C25" s="24"/>
      <c r="D25" s="24"/>
      <c r="E25" s="27"/>
      <c r="F25" s="31"/>
      <c r="N25" s="39" t="str">
        <f t="shared" si="1"/>
        <v/>
      </c>
      <c r="O25" s="38" t="str">
        <f t="shared" si="2"/>
        <v/>
      </c>
    </row>
    <row r="26" spans="1:15">
      <c r="A26" s="21"/>
      <c r="B26" s="16"/>
      <c r="C26" s="24"/>
      <c r="D26" s="24"/>
      <c r="E26" s="27"/>
      <c r="F26" s="31"/>
      <c r="N26" s="39" t="str">
        <f t="shared" si="1"/>
        <v/>
      </c>
      <c r="O26" s="38" t="str">
        <f t="shared" si="2"/>
        <v/>
      </c>
    </row>
    <row r="27" spans="1:15">
      <c r="A27" s="21"/>
      <c r="B27" s="16"/>
      <c r="C27" s="24"/>
      <c r="D27" s="24"/>
      <c r="E27" s="27"/>
      <c r="F27" s="31"/>
      <c r="N27" s="39" t="str">
        <f t="shared" si="1"/>
        <v/>
      </c>
      <c r="O27" s="38" t="str">
        <f t="shared" si="2"/>
        <v/>
      </c>
    </row>
    <row r="28" spans="1:15">
      <c r="A28" s="21"/>
      <c r="B28" s="16"/>
      <c r="C28" s="24"/>
      <c r="D28" s="24"/>
      <c r="E28" s="27"/>
      <c r="F28" s="31"/>
      <c r="N28" s="39" t="str">
        <f t="shared" si="1"/>
        <v/>
      </c>
      <c r="O28" s="38" t="str">
        <f t="shared" si="2"/>
        <v/>
      </c>
    </row>
    <row r="29" spans="1:15">
      <c r="A29" s="21"/>
      <c r="B29" s="16"/>
      <c r="C29" s="24"/>
      <c r="D29" s="24"/>
      <c r="E29" s="27"/>
      <c r="F29" s="31"/>
      <c r="N29" s="39" t="str">
        <f t="shared" si="1"/>
        <v/>
      </c>
      <c r="O29" s="38" t="str">
        <f t="shared" si="2"/>
        <v/>
      </c>
    </row>
    <row r="30" spans="1:15">
      <c r="A30" s="21"/>
      <c r="B30" s="16"/>
      <c r="C30" s="24"/>
      <c r="D30" s="24"/>
      <c r="E30" s="27"/>
      <c r="F30" s="31"/>
      <c r="N30" s="39" t="str">
        <f t="shared" si="1"/>
        <v/>
      </c>
      <c r="O30" s="38" t="str">
        <f t="shared" si="2"/>
        <v/>
      </c>
    </row>
    <row r="31" spans="1:15">
      <c r="A31" s="21"/>
      <c r="B31" s="16"/>
      <c r="C31" s="24"/>
      <c r="D31" s="24"/>
      <c r="E31" s="27"/>
      <c r="F31" s="31"/>
      <c r="N31" s="39" t="str">
        <f t="shared" si="1"/>
        <v/>
      </c>
      <c r="O31" s="38" t="str">
        <f t="shared" si="2"/>
        <v/>
      </c>
    </row>
    <row r="32" spans="1:15">
      <c r="A32" s="21"/>
      <c r="B32" s="16"/>
      <c r="C32" s="24"/>
      <c r="D32" s="24"/>
      <c r="E32" s="27"/>
      <c r="F32" s="31"/>
      <c r="N32" s="39" t="str">
        <f t="shared" si="1"/>
        <v/>
      </c>
      <c r="O32" s="38" t="str">
        <f t="shared" si="2"/>
        <v/>
      </c>
    </row>
    <row r="33" spans="1:15">
      <c r="A33" s="21"/>
      <c r="B33" s="16"/>
      <c r="C33" s="24"/>
      <c r="D33" s="24"/>
      <c r="E33" s="27"/>
      <c r="F33" s="31"/>
      <c r="N33" s="39" t="str">
        <f t="shared" si="1"/>
        <v/>
      </c>
      <c r="O33" s="38" t="str">
        <f t="shared" si="2"/>
        <v/>
      </c>
    </row>
    <row r="34" spans="1:15">
      <c r="A34" s="21"/>
      <c r="B34" s="16"/>
      <c r="C34" s="24"/>
      <c r="D34" s="24"/>
      <c r="E34" s="27"/>
      <c r="F34" s="31"/>
      <c r="N34" s="39" t="str">
        <f t="shared" si="1"/>
        <v/>
      </c>
      <c r="O34" s="38" t="str">
        <f t="shared" si="2"/>
        <v/>
      </c>
    </row>
    <row r="35" spans="1:15">
      <c r="A35" s="21"/>
      <c r="B35" s="16"/>
      <c r="C35" s="24"/>
      <c r="D35" s="24"/>
      <c r="E35" s="27"/>
      <c r="F35" s="31"/>
      <c r="N35" s="39" t="str">
        <f t="shared" si="1"/>
        <v/>
      </c>
      <c r="O35" s="38" t="str">
        <f t="shared" si="2"/>
        <v/>
      </c>
    </row>
    <row r="36" spans="1:15">
      <c r="A36" s="21"/>
      <c r="B36" s="16"/>
      <c r="C36" s="24"/>
      <c r="D36" s="24"/>
      <c r="E36" s="27"/>
      <c r="F36" s="31"/>
      <c r="N36" s="39" t="str">
        <f t="shared" si="1"/>
        <v/>
      </c>
      <c r="O36" s="38" t="str">
        <f t="shared" si="2"/>
        <v/>
      </c>
    </row>
    <row r="37" spans="1:15">
      <c r="A37" s="21"/>
      <c r="B37" s="16"/>
      <c r="C37" s="24"/>
      <c r="D37" s="24"/>
      <c r="E37" s="27"/>
      <c r="F37" s="31"/>
      <c r="N37" s="39" t="str">
        <f t="shared" si="1"/>
        <v/>
      </c>
      <c r="O37" s="38" t="str">
        <f t="shared" si="2"/>
        <v/>
      </c>
    </row>
    <row r="38" spans="1:15">
      <c r="A38" s="21"/>
      <c r="B38" s="16"/>
      <c r="C38" s="24"/>
      <c r="D38" s="24"/>
      <c r="E38" s="27"/>
      <c r="F38" s="31"/>
      <c r="N38" s="39" t="str">
        <f t="shared" si="1"/>
        <v/>
      </c>
      <c r="O38" s="38" t="str">
        <f t="shared" si="2"/>
        <v/>
      </c>
    </row>
    <row r="39" spans="1:15">
      <c r="A39" s="21"/>
      <c r="B39" s="16"/>
      <c r="C39" s="24"/>
      <c r="D39" s="24"/>
      <c r="E39" s="27"/>
      <c r="F39" s="31"/>
      <c r="N39" s="39" t="str">
        <f t="shared" si="1"/>
        <v/>
      </c>
      <c r="O39" s="38" t="str">
        <f t="shared" si="2"/>
        <v/>
      </c>
    </row>
    <row r="40" spans="1:15">
      <c r="A40" s="21"/>
      <c r="B40" s="16"/>
      <c r="C40" s="24"/>
      <c r="D40" s="24"/>
      <c r="E40" s="27"/>
      <c r="F40" s="31"/>
      <c r="N40" s="39" t="str">
        <f t="shared" si="1"/>
        <v/>
      </c>
      <c r="O40" s="38" t="str">
        <f t="shared" si="2"/>
        <v/>
      </c>
    </row>
    <row r="41" spans="1:15">
      <c r="A41" s="21"/>
      <c r="B41" s="16"/>
      <c r="C41" s="24"/>
      <c r="D41" s="24"/>
      <c r="E41" s="27"/>
      <c r="F41" s="31"/>
      <c r="N41" s="39" t="str">
        <f t="shared" si="1"/>
        <v/>
      </c>
      <c r="O41" s="38" t="str">
        <f t="shared" si="2"/>
        <v/>
      </c>
    </row>
    <row r="42" spans="1:15">
      <c r="A42" s="21"/>
      <c r="B42" s="16"/>
      <c r="C42" s="24"/>
      <c r="D42" s="24"/>
      <c r="E42" s="27"/>
      <c r="F42" s="31"/>
      <c r="N42" s="39" t="str">
        <f t="shared" si="1"/>
        <v/>
      </c>
      <c r="O42" s="38" t="str">
        <f t="shared" si="2"/>
        <v/>
      </c>
    </row>
    <row r="43" spans="1:15">
      <c r="A43" s="21"/>
      <c r="B43" s="16"/>
      <c r="C43" s="24"/>
      <c r="D43" s="24"/>
      <c r="E43" s="27"/>
      <c r="F43" s="31"/>
      <c r="N43" s="39" t="str">
        <f t="shared" si="1"/>
        <v/>
      </c>
      <c r="O43" s="38" t="str">
        <f t="shared" si="2"/>
        <v/>
      </c>
    </row>
    <row r="44" spans="1:15">
      <c r="A44" s="21"/>
      <c r="B44" s="16"/>
      <c r="C44" s="24"/>
      <c r="D44" s="24"/>
      <c r="E44" s="27"/>
      <c r="F44" s="31"/>
      <c r="N44" s="39" t="str">
        <f t="shared" si="1"/>
        <v/>
      </c>
      <c r="O44" s="38" t="str">
        <f t="shared" si="2"/>
        <v/>
      </c>
    </row>
    <row r="45" spans="1:15">
      <c r="A45" s="21"/>
      <c r="B45" s="16"/>
      <c r="C45" s="24"/>
      <c r="D45" s="24"/>
      <c r="E45" s="27"/>
      <c r="F45" s="31"/>
      <c r="N45" s="39" t="str">
        <f t="shared" si="1"/>
        <v/>
      </c>
      <c r="O45" s="38" t="str">
        <f t="shared" si="2"/>
        <v/>
      </c>
    </row>
    <row r="46" spans="1:15">
      <c r="A46" s="21"/>
      <c r="B46" s="16"/>
      <c r="C46" s="24"/>
      <c r="D46" s="24"/>
      <c r="E46" s="27"/>
      <c r="F46" s="31"/>
      <c r="N46" s="39" t="str">
        <f t="shared" si="1"/>
        <v/>
      </c>
      <c r="O46" s="38" t="str">
        <f t="shared" si="2"/>
        <v/>
      </c>
    </row>
    <row r="47" spans="1:15">
      <c r="A47" s="21"/>
      <c r="B47" s="16"/>
      <c r="C47" s="24"/>
      <c r="D47" s="24"/>
      <c r="E47" s="27"/>
      <c r="F47" s="31"/>
      <c r="N47" s="39" t="str">
        <f t="shared" si="1"/>
        <v/>
      </c>
      <c r="O47" s="38" t="str">
        <f t="shared" si="2"/>
        <v/>
      </c>
    </row>
    <row r="48" spans="1:15">
      <c r="A48" s="21"/>
      <c r="B48" s="16"/>
      <c r="C48" s="24"/>
      <c r="D48" s="24"/>
      <c r="E48" s="27"/>
      <c r="F48" s="31"/>
      <c r="N48" s="39" t="str">
        <f t="shared" si="1"/>
        <v/>
      </c>
      <c r="O48" s="38" t="str">
        <f t="shared" si="2"/>
        <v/>
      </c>
    </row>
    <row r="49" spans="1:269">
      <c r="A49" s="21"/>
      <c r="B49" s="16"/>
      <c r="C49" s="24"/>
      <c r="D49" s="24"/>
      <c r="E49" s="27"/>
      <c r="F49" s="31"/>
      <c r="N49" s="39" t="str">
        <f t="shared" si="1"/>
        <v/>
      </c>
      <c r="O49" s="38" t="str">
        <f t="shared" si="2"/>
        <v/>
      </c>
    </row>
    <row r="50" spans="1:269">
      <c r="A50" s="21"/>
      <c r="B50" s="16"/>
      <c r="C50" s="24"/>
      <c r="D50" s="24"/>
      <c r="E50" s="27"/>
      <c r="F50" s="31"/>
      <c r="N50" s="39" t="str">
        <f t="shared" si="1"/>
        <v/>
      </c>
      <c r="O50" s="38" t="str">
        <f t="shared" si="2"/>
        <v/>
      </c>
    </row>
    <row r="51" spans="1:269">
      <c r="A51" s="21"/>
      <c r="B51" s="16"/>
      <c r="C51" s="24"/>
      <c r="D51" s="24"/>
      <c r="E51" s="27"/>
      <c r="F51" s="31"/>
      <c r="N51" s="39" t="str">
        <f t="shared" si="1"/>
        <v/>
      </c>
      <c r="O51" s="38" t="str">
        <f t="shared" si="2"/>
        <v/>
      </c>
    </row>
    <row r="52" spans="1:269">
      <c r="A52" s="21"/>
      <c r="B52" s="16"/>
      <c r="C52" s="24"/>
      <c r="D52" s="24"/>
      <c r="E52" s="27"/>
      <c r="F52" s="31"/>
      <c r="N52" s="39" t="str">
        <f t="shared" si="1"/>
        <v/>
      </c>
      <c r="O52" s="38" t="str">
        <f t="shared" si="2"/>
        <v/>
      </c>
    </row>
    <row r="53" spans="1:269">
      <c r="A53" s="21"/>
      <c r="B53" s="16"/>
      <c r="C53" s="24"/>
      <c r="D53" s="24"/>
      <c r="E53" s="27"/>
      <c r="F53" s="31"/>
      <c r="N53" s="39" t="str">
        <f t="shared" si="1"/>
        <v/>
      </c>
      <c r="O53" s="38" t="str">
        <f t="shared" si="2"/>
        <v/>
      </c>
    </row>
    <row r="54" spans="1:269">
      <c r="A54" s="21"/>
      <c r="B54" s="16"/>
      <c r="C54" s="24"/>
      <c r="D54" s="24"/>
      <c r="E54" s="27"/>
      <c r="F54" s="31"/>
      <c r="N54" s="39" t="str">
        <f t="shared" si="1"/>
        <v/>
      </c>
      <c r="O54" s="38" t="str">
        <f t="shared" si="2"/>
        <v/>
      </c>
    </row>
    <row r="55" spans="1:269">
      <c r="A55" s="22"/>
      <c r="B55" s="17"/>
      <c r="C55" s="25"/>
      <c r="D55" s="25"/>
      <c r="E55" s="28"/>
      <c r="F55" s="32"/>
      <c r="N55" s="40" t="str">
        <f t="shared" si="1"/>
        <v/>
      </c>
      <c r="O55" s="41" t="str">
        <f t="shared" si="2"/>
        <v/>
      </c>
    </row>
    <row r="58" spans="1:269">
      <c r="A58" s="13" t="s">
        <v>22</v>
      </c>
      <c r="B58" s="6">
        <f>IF('Time series'!B1=0,NA(),'Time series'!B1)</f>
        <v>44186</v>
      </c>
      <c r="C58" s="6">
        <f>IF('Time series'!C1=0,NA(),'Time series'!C1)</f>
        <v>44187</v>
      </c>
      <c r="D58" s="6">
        <f>IF('Time series'!D1=0,NA(),'Time series'!D1)</f>
        <v>44188</v>
      </c>
      <c r="E58" s="6">
        <f>IF('Time series'!E1=0,NA(),'Time series'!E1)</f>
        <v>44193</v>
      </c>
      <c r="F58" s="6">
        <f>IF('Time series'!F1=0,NA(),'Time series'!F1)</f>
        <v>44194</v>
      </c>
      <c r="G58" s="6">
        <f>IF('Time series'!G1=0,NA(),'Time series'!G1)</f>
        <v>44200</v>
      </c>
      <c r="H58" s="6">
        <f>IF('Time series'!H1=0,NA(),'Time series'!H1)</f>
        <v>44201</v>
      </c>
      <c r="I58" s="6">
        <f>IF('Time series'!I1=0,NA(),'Time series'!I1)</f>
        <v>44202</v>
      </c>
      <c r="J58" s="6">
        <f>IF('Time series'!J1=0,NA(),'Time series'!J1)</f>
        <v>44203</v>
      </c>
      <c r="K58" s="6">
        <f>IF('Time series'!K1=0,NA(),'Time series'!K1)</f>
        <v>44204</v>
      </c>
      <c r="L58" s="6">
        <f>IF('Time series'!L1=0,NA(),'Time series'!L1)</f>
        <v>44207</v>
      </c>
      <c r="M58" s="6">
        <f>IF('Time series'!M1=0,NA(),'Time series'!M1)</f>
        <v>44208</v>
      </c>
      <c r="N58" s="6">
        <f>IF('Time series'!N1=0,NA(),'Time series'!N1)</f>
        <v>44209</v>
      </c>
      <c r="O58" s="6">
        <f>IF('Time series'!O1=0,NA(),'Time series'!O1)</f>
        <v>44210</v>
      </c>
      <c r="P58" s="6">
        <f>IF('Time series'!P1=0,NA(),'Time series'!P1)</f>
        <v>44211</v>
      </c>
      <c r="Q58" s="6">
        <f>IF('Time series'!Q1=0,NA(),'Time series'!Q1)</f>
        <v>44215</v>
      </c>
      <c r="R58" s="6">
        <f>IF('Time series'!R1=0,NA(),'Time series'!R1)</f>
        <v>44216</v>
      </c>
      <c r="S58" s="6">
        <f>IF('Time series'!S1=0,NA(),'Time series'!S1)</f>
        <v>44217</v>
      </c>
      <c r="T58" s="6">
        <f>IF('Time series'!T1=0,NA(),'Time series'!T1)</f>
        <v>44218</v>
      </c>
      <c r="U58" s="6">
        <f>IF('Time series'!U1=0,NA(),'Time series'!U1)</f>
        <v>44221</v>
      </c>
      <c r="V58" s="6">
        <f>IF('Time series'!V1=0,NA(),'Time series'!V1)</f>
        <v>44222</v>
      </c>
      <c r="W58" s="6">
        <f>IF('Time series'!W1=0,NA(),'Time series'!W1)</f>
        <v>44223</v>
      </c>
      <c r="X58" s="6">
        <f>IF('Time series'!X1=0,NA(),'Time series'!X1)</f>
        <v>44224</v>
      </c>
      <c r="Y58" s="6">
        <f>IF('Time series'!Y1=0,NA(),'Time series'!Y1)</f>
        <v>44225</v>
      </c>
      <c r="Z58" s="6">
        <f>IF('Time series'!Z1=0,NA(),'Time series'!Z1)</f>
        <v>44228</v>
      </c>
      <c r="AA58" s="6"/>
      <c r="AB58" s="6"/>
      <c r="AC58" s="6"/>
      <c r="AD58" s="6"/>
      <c r="AE58" s="6"/>
      <c r="AF58" s="6">
        <f>IF('Time series'!AF1=0,NA(),'Time series'!AF1)</f>
        <v>44236</v>
      </c>
      <c r="AG58" s="6">
        <f>IF('Time series'!AG1=0,NA(),'Time series'!AG1)</f>
        <v>44237</v>
      </c>
      <c r="AH58" s="6">
        <f>IF('Time series'!AH1=0,NA(),'Time series'!AH1)</f>
        <v>44238</v>
      </c>
      <c r="AI58" s="6">
        <f>IF('Time series'!AI1=0,NA(),'Time series'!AI1)</f>
        <v>44239</v>
      </c>
      <c r="AJ58" s="6">
        <f>IF('Time series'!AJ1=0,NA(),'Time series'!AJ1)</f>
        <v>44243</v>
      </c>
      <c r="AK58" s="6">
        <f>IF('Time series'!AK1=0,NA(),'Time series'!AK1)</f>
        <v>44244</v>
      </c>
      <c r="AL58" s="6">
        <f>IF('Time series'!AL1=0,NA(),'Time series'!AL1)</f>
        <v>44245</v>
      </c>
      <c r="AM58" s="6">
        <f>IF('Time series'!AM1=0,NA(),'Time series'!AM1)</f>
        <v>44246</v>
      </c>
      <c r="AN58" s="6">
        <f>IF('Time series'!AN1=0,NA(),'Time series'!AN1)</f>
        <v>44249</v>
      </c>
      <c r="AO58" s="6">
        <f>IF('Time series'!AO1=0,NA(),'Time series'!AO1)</f>
        <v>44250</v>
      </c>
      <c r="AP58" s="6">
        <f>IF('Time series'!AP1=0,NA(),'Time series'!AP1)</f>
        <v>44251</v>
      </c>
      <c r="AQ58" s="6">
        <f>IF('Time series'!AQ1=0,NA(),'Time series'!AQ1)</f>
        <v>44252</v>
      </c>
      <c r="AR58" s="6">
        <f>IF('Time series'!AR1=0,NA(),'Time series'!AR1)</f>
        <v>44253</v>
      </c>
      <c r="AS58" s="6">
        <f>IF('Time series'!AS1=0,NA(),'Time series'!AS1)</f>
        <v>44256</v>
      </c>
      <c r="AT58" s="6">
        <f>IF('Time series'!AT1=0,NA(),'Time series'!AT1)</f>
        <v>44257</v>
      </c>
      <c r="AU58" s="6">
        <f>IF('Time series'!AU1=0,NA(),'Time series'!AU1)</f>
        <v>44258</v>
      </c>
      <c r="AV58" s="6">
        <f>IF('Time series'!AV1=0,NA(),'Time series'!AV1)</f>
        <v>44259</v>
      </c>
      <c r="AW58" s="6">
        <f>IF('Time series'!AW1=0,NA(),'Time series'!AW1)</f>
        <v>44260</v>
      </c>
      <c r="AX58" s="6">
        <f>IF('Time series'!AX1=0,NA(),'Time series'!AX1)</f>
        <v>44263</v>
      </c>
      <c r="AY58" s="6">
        <f>IF('Time series'!AY1=0,NA(),'Time series'!AY1)</f>
        <v>44264</v>
      </c>
      <c r="AZ58" s="6">
        <f>IF('Time series'!AZ1=0,NA(),'Time series'!AZ1)</f>
        <v>44265</v>
      </c>
      <c r="BA58" s="6">
        <f>IF('Time series'!BA1=0,NA(),'Time series'!BA1)</f>
        <v>44266</v>
      </c>
      <c r="BB58" s="6">
        <f>IF('Time series'!BB1=0,NA(),'Time series'!BB1)</f>
        <v>44267</v>
      </c>
      <c r="BC58" s="6">
        <f>IF('Time series'!BC1=0,NA(),'Time series'!BC1)</f>
        <v>44270</v>
      </c>
      <c r="BD58" s="6">
        <f>IF('Time series'!BD1=0,NA(),'Time series'!BD1)</f>
        <v>44271</v>
      </c>
      <c r="BE58" s="6">
        <f>IF('Time series'!BE1=0,NA(),'Time series'!BE1)</f>
        <v>44272</v>
      </c>
      <c r="BF58" s="6">
        <f>IF('Time series'!BF1=0,NA(),'Time series'!BF1)</f>
        <v>44273</v>
      </c>
      <c r="BG58" s="6">
        <f>IF('Time series'!BG1=0,NA(),'Time series'!BG1)</f>
        <v>44274</v>
      </c>
      <c r="BH58" s="6">
        <f>IF('Time series'!BH1=0,NA(),'Time series'!BH1)</f>
        <v>44277</v>
      </c>
      <c r="BI58" s="6">
        <f>IF('Time series'!BI1=0,NA(),'Time series'!BI1)</f>
        <v>44278</v>
      </c>
      <c r="BJ58" s="6">
        <f>IF('Time series'!BJ1=0,NA(),'Time series'!BJ1)</f>
        <v>44279</v>
      </c>
      <c r="BK58" s="6">
        <f>IF('Time series'!BK1=0,NA(),'Time series'!BK1)</f>
        <v>44280</v>
      </c>
      <c r="BL58" s="6">
        <f>IF('Time series'!BL1=0,NA(),'Time series'!BL1)</f>
        <v>44281</v>
      </c>
      <c r="BM58" s="6">
        <f>IF('Time series'!BM1=0,NA(),'Time series'!BM1)</f>
        <v>44284</v>
      </c>
      <c r="BN58" s="6">
        <f>IF('Time series'!BN1=0,NA(),'Time series'!BN1)</f>
        <v>44285</v>
      </c>
      <c r="BO58" s="6">
        <f>IF('Time series'!BO1=0,NA(),'Time series'!BO1)</f>
        <v>44286</v>
      </c>
      <c r="BP58" s="6">
        <f>IF('Time series'!BP1=0,NA(),'Time series'!BP1)</f>
        <v>44287</v>
      </c>
      <c r="BQ58" s="6">
        <f>IF('Time series'!BQ1=0,NA(),'Time series'!BQ1)</f>
        <v>44292</v>
      </c>
      <c r="BR58" s="6">
        <f>IF('Time series'!BR1=0,NA(),'Time series'!BR1)</f>
        <v>44293</v>
      </c>
      <c r="BS58" s="6">
        <f>IF('Time series'!BS1=0,NA(),'Time series'!BS1)</f>
        <v>44294</v>
      </c>
      <c r="BT58" s="6">
        <f>IF('Time series'!BT1=0,NA(),'Time series'!BT1)</f>
        <v>44295</v>
      </c>
      <c r="BU58" s="6">
        <f>IF('Time series'!BU1=0,NA(),'Time series'!BU1)</f>
        <v>44298</v>
      </c>
      <c r="BV58" s="6">
        <f>IF('Time series'!BV1=0,NA(),'Time series'!BV1)</f>
        <v>44299</v>
      </c>
      <c r="BW58" s="6">
        <f>IF('Time series'!BW1=0,NA(),'Time series'!BW1)</f>
        <v>44300</v>
      </c>
      <c r="BX58" s="6">
        <f>IF('Time series'!BX1=0,NA(),'Time series'!BX1)</f>
        <v>44301</v>
      </c>
      <c r="BY58" s="6">
        <f>IF('Time series'!BY1=0,NA(),'Time series'!BY1)</f>
        <v>44302</v>
      </c>
      <c r="BZ58" s="6">
        <f>IF('Time series'!BZ1=0,NA(),'Time series'!BZ1)</f>
        <v>44305</v>
      </c>
      <c r="CA58" s="6">
        <f>IF('Time series'!CA1=0,NA(),'Time series'!CA1)</f>
        <v>44306</v>
      </c>
      <c r="CB58" s="6">
        <f>IF('Time series'!CB1=0,NA(),'Time series'!CB1)</f>
        <v>44307</v>
      </c>
      <c r="CC58" s="6">
        <f>IF('Time series'!CC1=0,NA(),'Time series'!CC1)</f>
        <v>44308</v>
      </c>
      <c r="CD58" s="6">
        <f>IF('Time series'!CD1=0,NA(),'Time series'!CD1)</f>
        <v>44309</v>
      </c>
      <c r="CE58" s="6">
        <f>IF('Time series'!CE1=0,NA(),'Time series'!CE1)</f>
        <v>44312</v>
      </c>
      <c r="CF58" s="6">
        <f>IF('Time series'!CF1=0,NA(),'Time series'!CF1)</f>
        <v>44313</v>
      </c>
      <c r="CG58" s="6">
        <f>IF('Time series'!CG1=0,NA(),'Time series'!CG1)</f>
        <v>44314</v>
      </c>
      <c r="CH58" s="6">
        <f>IF('Time series'!CH1=0,NA(),'Time series'!CH1)</f>
        <v>44315</v>
      </c>
      <c r="CI58" s="6">
        <f>IF('Time series'!CI1=0,NA(),'Time series'!CI1)</f>
        <v>44316</v>
      </c>
      <c r="CJ58" s="6">
        <f>IF('Time series'!CJ1=0,NA(),'Time series'!CJ1)</f>
        <v>44319</v>
      </c>
      <c r="CK58" s="6">
        <f>IF('Time series'!CK1=0,NA(),'Time series'!CK1)</f>
        <v>44320</v>
      </c>
      <c r="CL58" s="6">
        <f>IF('Time series'!CL1=0,NA(),'Time series'!CL1)</f>
        <v>44321</v>
      </c>
      <c r="CM58" s="6">
        <f>IF('Time series'!CM1=0,NA(),'Time series'!CM1)</f>
        <v>44322</v>
      </c>
      <c r="CN58" s="6">
        <f>IF('Time series'!CN1=0,NA(),'Time series'!CN1)</f>
        <v>44323</v>
      </c>
      <c r="CO58" s="6">
        <f>IF('Time series'!CO1=0,NA(),'Time series'!CO1)</f>
        <v>44326</v>
      </c>
      <c r="CP58" s="6">
        <f>IF('Time series'!CP1=0,NA(),'Time series'!CP1)</f>
        <v>44327</v>
      </c>
      <c r="CQ58" s="6">
        <f>IF('Time series'!CQ1=0,NA(),'Time series'!CQ1)</f>
        <v>44328</v>
      </c>
      <c r="CR58" s="6">
        <f>IF('Time series'!CR1=0,NA(),'Time series'!CR1)</f>
        <v>44330</v>
      </c>
      <c r="CS58" s="6">
        <f>IF('Time series'!CS1=0,NA(),'Time series'!CS1)</f>
        <v>44333</v>
      </c>
      <c r="CT58" s="6">
        <f>IF('Time series'!CT1=0,NA(),'Time series'!CT1)</f>
        <v>44334</v>
      </c>
      <c r="CU58" s="6">
        <f>IF('Time series'!CU1=0,NA(),'Time series'!CU1)</f>
        <v>44335</v>
      </c>
      <c r="CV58" s="6">
        <f>IF('Time series'!CV1=0,NA(),'Time series'!CV1)</f>
        <v>44336</v>
      </c>
      <c r="CW58" s="6">
        <f>IF('Time series'!CW1=0,NA(),'Time series'!CW1)</f>
        <v>44337</v>
      </c>
      <c r="CX58" s="6">
        <f>IF('Time series'!CX1=0,NA(),'Time series'!CX1)</f>
        <v>44341</v>
      </c>
      <c r="CY58" s="6">
        <f>IF('Time series'!CY1=0,NA(),'Time series'!CY1)</f>
        <v>44342</v>
      </c>
      <c r="CZ58" s="6">
        <f>IF('Time series'!CZ1=0,NA(),'Time series'!CZ1)</f>
        <v>44343</v>
      </c>
      <c r="DA58" s="6">
        <f>IF('Time series'!DA1=0,NA(),'Time series'!DA1)</f>
        <v>44344</v>
      </c>
      <c r="DB58" s="6">
        <f>IF('Time series'!DB1=0,NA(),'Time series'!DB1)</f>
        <v>44348</v>
      </c>
      <c r="DC58" s="6">
        <f>IF('Time series'!DC1=0,NA(),'Time series'!DC1)</f>
        <v>44349</v>
      </c>
      <c r="DD58" s="6">
        <f>IF('Time series'!DD1=0,NA(),'Time series'!DD1)</f>
        <v>44350</v>
      </c>
      <c r="DE58" s="6">
        <f>IF('Time series'!DE1=0,NA(),'Time series'!DE1)</f>
        <v>44351</v>
      </c>
      <c r="DF58" s="6">
        <f>IF('Time series'!DF1=0,NA(),'Time series'!DF1)</f>
        <v>44354</v>
      </c>
      <c r="DG58" s="6">
        <f>IF('Time series'!DG1=0,NA(),'Time series'!DG1)</f>
        <v>44355</v>
      </c>
      <c r="DH58" s="6">
        <f>IF('Time series'!DH1=0,NA(),'Time series'!DH1)</f>
        <v>44356</v>
      </c>
      <c r="DI58" s="6">
        <f>IF('Time series'!DI1=0,NA(),'Time series'!DI1)</f>
        <v>44357</v>
      </c>
      <c r="DJ58" s="6">
        <f>IF('Time series'!DJ1=0,NA(),'Time series'!DJ1)</f>
        <v>44358</v>
      </c>
      <c r="DK58" s="6">
        <f>IF('Time series'!DK1=0,NA(),'Time series'!DK1)</f>
        <v>44361</v>
      </c>
      <c r="DL58" s="6">
        <f>IF('Time series'!DL1=0,NA(),'Time series'!DL1)</f>
        <v>44362</v>
      </c>
      <c r="DM58" s="6">
        <f>IF('Time series'!DM1=0,NA(),'Time series'!DM1)</f>
        <v>44363</v>
      </c>
      <c r="DN58" s="6">
        <f>IF('Time series'!DN1=0,NA(),'Time series'!DN1)</f>
        <v>44364</v>
      </c>
      <c r="DO58" s="6">
        <f>IF('Time series'!DO1=0,NA(),'Time series'!DO1)</f>
        <v>44365</v>
      </c>
      <c r="DP58" s="6">
        <f>IF('Time series'!DP1=0,NA(),'Time series'!DP1)</f>
        <v>44368</v>
      </c>
      <c r="DQ58" s="6">
        <f>IF('Time series'!DQ1=0,NA(),'Time series'!DQ1)</f>
        <v>44369</v>
      </c>
      <c r="DR58" s="6">
        <f>IF('Time series'!DR1=0,NA(),'Time series'!DR1)</f>
        <v>44371</v>
      </c>
      <c r="DS58" s="6">
        <f>IF('Time series'!DS1=0,NA(),'Time series'!DS1)</f>
        <v>44372</v>
      </c>
      <c r="DT58" s="6">
        <f>IF('Time series'!DT1=0,NA(),'Time series'!DT1)</f>
        <v>44375</v>
      </c>
      <c r="DU58" s="6">
        <f>IF('Time series'!DU1=0,NA(),'Time series'!DU1)</f>
        <v>44376</v>
      </c>
      <c r="DV58" s="6">
        <f>IF('Time series'!DV1=0,NA(),'Time series'!DV1)</f>
        <v>44377</v>
      </c>
      <c r="DW58" s="6">
        <f>IF('Time series'!DW1=0,NA(),'Time series'!DW1)</f>
        <v>44378</v>
      </c>
      <c r="DX58" s="6">
        <f>IF('Time series'!DX1=0,NA(),'Time series'!DX1)</f>
        <v>44379</v>
      </c>
      <c r="DY58" s="6">
        <f>IF('Time series'!DY1=0,NA(),'Time series'!DY1)</f>
        <v>44383</v>
      </c>
      <c r="DZ58" s="6">
        <f>IF('Time series'!DZ1=0,NA(),'Time series'!DZ1)</f>
        <v>44384</v>
      </c>
      <c r="EA58" s="6">
        <f>IF('Time series'!EA1=0,NA(),'Time series'!EA1)</f>
        <v>44385</v>
      </c>
      <c r="EB58" s="6">
        <f>IF('Time series'!EB1=0,NA(),'Time series'!EB1)</f>
        <v>44386</v>
      </c>
      <c r="EC58" s="6">
        <f>IF('Time series'!EC1=0,NA(),'Time series'!EC1)</f>
        <v>44389</v>
      </c>
      <c r="ED58" s="6">
        <f>IF('Time series'!ED1=0,NA(),'Time series'!ED1)</f>
        <v>44390</v>
      </c>
      <c r="EE58" s="6">
        <f>IF('Time series'!EE1=0,NA(),'Time series'!EE1)</f>
        <v>44391</v>
      </c>
      <c r="EF58" s="6">
        <f>IF('Time series'!EF1=0,NA(),'Time series'!EF1)</f>
        <v>44392</v>
      </c>
      <c r="EG58" s="6">
        <f>IF('Time series'!EG1=0,NA(),'Time series'!EG1)</f>
        <v>44393</v>
      </c>
      <c r="EH58" s="6">
        <f>IF('Time series'!EH1=0,NA(),'Time series'!EH1)</f>
        <v>44396</v>
      </c>
      <c r="EI58" s="6">
        <f>IF('Time series'!EI1=0,NA(),'Time series'!EI1)</f>
        <v>44397</v>
      </c>
      <c r="EJ58" s="6">
        <f>IF('Time series'!EJ1=0,NA(),'Time series'!EJ1)</f>
        <v>44398</v>
      </c>
      <c r="EK58" s="6">
        <f>IF('Time series'!EK1=0,NA(),'Time series'!EK1)</f>
        <v>44399</v>
      </c>
      <c r="EL58" s="6">
        <f>IF('Time series'!EL1=0,NA(),'Time series'!EL1)</f>
        <v>44400</v>
      </c>
      <c r="EM58" s="6">
        <f>IF('Time series'!EM1=0,NA(),'Time series'!EM1)</f>
        <v>44403</v>
      </c>
      <c r="EN58" s="6">
        <f>IF('Time series'!EN1=0,NA(),'Time series'!EN1)</f>
        <v>44404</v>
      </c>
      <c r="EO58" s="6">
        <f>IF('Time series'!EO1=0,NA(),'Time series'!EO1)</f>
        <v>44405</v>
      </c>
      <c r="EP58" s="6">
        <f>IF('Time series'!EP1=0,NA(),'Time series'!EP1)</f>
        <v>44406</v>
      </c>
      <c r="EQ58" s="6">
        <f>IF('Time series'!EQ1=0,NA(),'Time series'!EQ1)</f>
        <v>44407</v>
      </c>
      <c r="ER58" s="6">
        <f>IF('Time series'!ER1=0,NA(),'Time series'!ER1)</f>
        <v>44410</v>
      </c>
      <c r="ES58" s="6">
        <f>IF('Time series'!ES1=0,NA(),'Time series'!ES1)</f>
        <v>44411</v>
      </c>
      <c r="ET58" s="6">
        <f>IF('Time series'!ET1=0,NA(),'Time series'!ET1)</f>
        <v>44412</v>
      </c>
      <c r="EU58" s="6">
        <f>IF('Time series'!EU1=0,NA(),'Time series'!EU1)</f>
        <v>44413</v>
      </c>
      <c r="EV58" s="6">
        <f>IF('Time series'!EV1=0,NA(),'Time series'!EV1)</f>
        <v>44414</v>
      </c>
      <c r="EW58" s="6">
        <f>IF('Time series'!EW1=0,NA(),'Time series'!EW1)</f>
        <v>44417</v>
      </c>
      <c r="EX58" s="6">
        <f>IF('Time series'!EX1=0,NA(),'Time series'!EX1)</f>
        <v>44418</v>
      </c>
      <c r="EY58" s="6">
        <f>IF('Time series'!EY1=0,NA(),'Time series'!EY1)</f>
        <v>44419</v>
      </c>
      <c r="EZ58" s="6">
        <f>IF('Time series'!EZ1=0,NA(),'Time series'!EZ1)</f>
        <v>44420</v>
      </c>
      <c r="FA58" s="6">
        <f>IF('Time series'!FA1=0,NA(),'Time series'!FA1)</f>
        <v>44421</v>
      </c>
      <c r="FB58" s="6">
        <f>IF('Time series'!FB1=0,NA(),'Time series'!FB1)</f>
        <v>44424</v>
      </c>
      <c r="FC58" s="6">
        <f>IF('Time series'!FC1=0,NA(),'Time series'!FC1)</f>
        <v>44425</v>
      </c>
      <c r="FD58" s="6">
        <f>IF('Time series'!FD1=0,NA(),'Time series'!FD1)</f>
        <v>44426</v>
      </c>
      <c r="FE58" s="6">
        <f>IF('Time series'!FE1=0,NA(),'Time series'!FE1)</f>
        <v>44427</v>
      </c>
      <c r="FF58" s="6">
        <f>IF('Time series'!FF1=0,NA(),'Time series'!FF1)</f>
        <v>44428</v>
      </c>
      <c r="FG58" s="6">
        <f>IF('Time series'!FG1=0,NA(),'Time series'!FG1)</f>
        <v>44431</v>
      </c>
      <c r="FH58" s="6">
        <f>IF('Time series'!FH1=0,NA(),'Time series'!FH1)</f>
        <v>44432</v>
      </c>
      <c r="FI58" s="6">
        <f>IF('Time series'!FI1=0,NA(),'Time series'!FI1)</f>
        <v>44433</v>
      </c>
      <c r="FJ58" s="6">
        <f>IF('Time series'!FJ1=0,NA(),'Time series'!FJ1)</f>
        <v>44434</v>
      </c>
      <c r="FK58" s="6">
        <f>IF('Time series'!FK1=0,NA(),'Time series'!FK1)</f>
        <v>44435</v>
      </c>
      <c r="FL58" s="6">
        <f>IF('Time series'!FL1=0,NA(),'Time series'!FL1)</f>
        <v>44438</v>
      </c>
      <c r="FM58" s="6">
        <f>IF('Time series'!FM1=0,NA(),'Time series'!FM1)</f>
        <v>44439</v>
      </c>
      <c r="FN58" s="6">
        <f>IF('Time series'!FN1=0,NA(),'Time series'!FN1)</f>
        <v>44440</v>
      </c>
      <c r="FO58" s="6">
        <f>IF('Time series'!FO1=0,NA(),'Time series'!FO1)</f>
        <v>44441</v>
      </c>
      <c r="FP58" s="6">
        <f>IF('Time series'!FP1=0,NA(),'Time series'!FP1)</f>
        <v>44442</v>
      </c>
      <c r="FQ58" s="6">
        <f>IF('Time series'!FQ1=0,NA(),'Time series'!FQ1)</f>
        <v>44446</v>
      </c>
      <c r="FR58" s="6">
        <f>IF('Time series'!FR1=0,NA(),'Time series'!FR1)</f>
        <v>44447</v>
      </c>
      <c r="FS58" s="6">
        <f>IF('Time series'!FS1=0,NA(),'Time series'!FS1)</f>
        <v>44448</v>
      </c>
      <c r="FT58" s="6">
        <f>IF('Time series'!FT1=0,NA(),'Time series'!FT1)</f>
        <v>44449</v>
      </c>
      <c r="FU58" s="6">
        <f>IF('Time series'!FU1=0,NA(),'Time series'!FU1)</f>
        <v>44452</v>
      </c>
      <c r="FV58" s="6">
        <f>IF('Time series'!FV1=0,NA(),'Time series'!FV1)</f>
        <v>44453</v>
      </c>
      <c r="FW58" s="6">
        <f>IF('Time series'!FW1=0,NA(),'Time series'!FW1)</f>
        <v>44454</v>
      </c>
      <c r="FX58" s="6">
        <f>IF('Time series'!FX1=0,NA(),'Time series'!FX1)</f>
        <v>44455</v>
      </c>
      <c r="FY58" s="6">
        <f>IF('Time series'!FY1=0,NA(),'Time series'!FY1)</f>
        <v>44456</v>
      </c>
      <c r="FZ58" s="6">
        <f>IF('Time series'!FZ1=0,NA(),'Time series'!FZ1)</f>
        <v>44459</v>
      </c>
      <c r="GA58" s="6">
        <f>IF('Time series'!GA1=0,NA(),'Time series'!GA1)</f>
        <v>44460</v>
      </c>
      <c r="GB58" s="6">
        <f>IF('Time series'!GB1=0,NA(),'Time series'!GB1)</f>
        <v>44461</v>
      </c>
      <c r="GC58" s="6">
        <f>IF('Time series'!GC1=0,NA(),'Time series'!GC1)</f>
        <v>44462</v>
      </c>
      <c r="GD58" s="6">
        <f>IF('Time series'!GD1=0,NA(),'Time series'!GD1)</f>
        <v>44463</v>
      </c>
      <c r="GE58" s="6">
        <f>IF('Time series'!GE1=0,NA(),'Time series'!GE1)</f>
        <v>44466</v>
      </c>
      <c r="GF58" s="6">
        <f>IF('Time series'!GF1=0,NA(),'Time series'!GF1)</f>
        <v>44467</v>
      </c>
      <c r="GG58" s="6">
        <f>IF('Time series'!GG1=0,NA(),'Time series'!GG1)</f>
        <v>44468</v>
      </c>
      <c r="GH58" s="6">
        <f>IF('Time series'!GH1=0,NA(),'Time series'!GH1)</f>
        <v>44469</v>
      </c>
      <c r="GI58" s="6">
        <f>IF('Time series'!GI1=0,NA(),'Time series'!GI1)</f>
        <v>44470</v>
      </c>
      <c r="GJ58" s="6">
        <f>IF('Time series'!GJ1=0,NA(),'Time series'!GJ1)</f>
        <v>44473</v>
      </c>
      <c r="GK58" s="6">
        <f>IF('Time series'!GK1=0,NA(),'Time series'!GK1)</f>
        <v>44474</v>
      </c>
      <c r="GL58" s="6">
        <f>IF('Time series'!GL1=0,NA(),'Time series'!GL1)</f>
        <v>44475</v>
      </c>
      <c r="GM58" s="6">
        <f>IF('Time series'!GM1=0,NA(),'Time series'!GM1)</f>
        <v>44476</v>
      </c>
      <c r="GN58" s="6">
        <f>IF('Time series'!GN1=0,NA(),'Time series'!GN1)</f>
        <v>44477</v>
      </c>
      <c r="GO58" s="6">
        <f>IF('Time series'!GO1=0,NA(),'Time series'!GO1)</f>
        <v>44480</v>
      </c>
      <c r="GP58" s="6">
        <f>IF('Time series'!GP1=0,NA(),'Time series'!GP1)</f>
        <v>44481</v>
      </c>
      <c r="GQ58" s="6">
        <f>IF('Time series'!GQ1=0,NA(),'Time series'!GQ1)</f>
        <v>44482</v>
      </c>
      <c r="GR58" s="6">
        <f>IF('Time series'!GR1=0,NA(),'Time series'!GR1)</f>
        <v>44483</v>
      </c>
      <c r="GS58" s="6">
        <f>IF('Time series'!GS1=0,NA(),'Time series'!GS1)</f>
        <v>44484</v>
      </c>
      <c r="GT58" s="6">
        <f>IF('Time series'!GT1=0,NA(),'Time series'!GT1)</f>
        <v>44487</v>
      </c>
      <c r="GU58" s="6">
        <f>IF('Time series'!GU1=0,NA(),'Time series'!GU1)</f>
        <v>44488</v>
      </c>
      <c r="GV58" s="6">
        <f>IF('Time series'!GV1=0,NA(),'Time series'!GV1)</f>
        <v>44489</v>
      </c>
      <c r="GW58" s="6">
        <f>IF('Time series'!GW1=0,NA(),'Time series'!GW1)</f>
        <v>44490</v>
      </c>
      <c r="GX58" s="6">
        <f>IF('Time series'!GX1=0,NA(),'Time series'!GX1)</f>
        <v>44491</v>
      </c>
      <c r="GY58" s="6">
        <f>IF('Time series'!GY1=0,NA(),'Time series'!GY1)</f>
        <v>44494</v>
      </c>
      <c r="GZ58" s="6">
        <f>IF('Time series'!GZ1=0,NA(),'Time series'!GZ1)</f>
        <v>44495</v>
      </c>
      <c r="HA58" s="6">
        <f>IF('Time series'!HA1=0,NA(),'Time series'!HA1)</f>
        <v>44496</v>
      </c>
      <c r="HB58" s="6">
        <f>IF('Time series'!HB1=0,NA(),'Time series'!HB1)</f>
        <v>44497</v>
      </c>
      <c r="HC58" s="6">
        <f>IF('Time series'!HC1=0,NA(),'Time series'!HC1)</f>
        <v>44498</v>
      </c>
      <c r="HD58" s="6">
        <f>IF('Time series'!HD1=0,NA(),'Time series'!HD1)</f>
        <v>44502</v>
      </c>
      <c r="HE58" s="6">
        <f>IF('Time series'!HE1=0,NA(),'Time series'!HE1)</f>
        <v>44503</v>
      </c>
      <c r="HF58" s="6">
        <f>IF('Time series'!HF1=0,NA(),'Time series'!HF1)</f>
        <v>44504</v>
      </c>
      <c r="HG58" s="6">
        <f>IF('Time series'!HG1=0,NA(),'Time series'!HG1)</f>
        <v>44505</v>
      </c>
      <c r="HH58" s="6">
        <f>IF('Time series'!HH1=0,NA(),'Time series'!HH1)</f>
        <v>44508</v>
      </c>
      <c r="HI58" s="6">
        <f>IF('Time series'!HI1=0,NA(),'Time series'!HI1)</f>
        <v>44509</v>
      </c>
      <c r="HJ58" s="6">
        <f>IF('Time series'!HJ1=0,NA(),'Time series'!HJ1)</f>
        <v>44510</v>
      </c>
      <c r="HK58" s="6">
        <f>IF('Time series'!HK1=0,NA(),'Time series'!HK1)</f>
        <v>44511</v>
      </c>
      <c r="HL58" s="6">
        <f>IF('Time series'!HL1=0,NA(),'Time series'!HL1)</f>
        <v>44512</v>
      </c>
      <c r="HM58" s="6">
        <f>IF('Time series'!HM1=0,NA(),'Time series'!HM1)</f>
        <v>44515</v>
      </c>
      <c r="HN58" s="6">
        <f>IF('Time series'!HN1=0,NA(),'Time series'!HN1)</f>
        <v>44516</v>
      </c>
      <c r="HO58" s="6">
        <f>IF('Time series'!HO1=0,NA(),'Time series'!HO1)</f>
        <v>44517</v>
      </c>
      <c r="HP58" s="6">
        <f>IF('Time series'!HP1=0,NA(),'Time series'!HP1)</f>
        <v>44518</v>
      </c>
      <c r="HQ58" s="6">
        <f>IF('Time series'!HQ1=0,NA(),'Time series'!HQ1)</f>
        <v>44519</v>
      </c>
      <c r="HR58" s="6">
        <f>IF('Time series'!HR1=0,NA(),'Time series'!HR1)</f>
        <v>44522</v>
      </c>
      <c r="HS58" s="6">
        <f>IF('Time series'!HS1=0,NA(),'Time series'!HS1)</f>
        <v>44523</v>
      </c>
      <c r="HT58" s="6">
        <f>IF('Time series'!HT1=0,NA(),'Time series'!HT1)</f>
        <v>44524</v>
      </c>
      <c r="HU58" s="6">
        <f>IF('Time series'!HU1=0,NA(),'Time series'!HU1)</f>
        <v>44526</v>
      </c>
      <c r="HV58" s="6">
        <f>IF('Time series'!HV1=0,NA(),'Time series'!HV1)</f>
        <v>44529</v>
      </c>
      <c r="HW58" s="6">
        <f>IF('Time series'!HW1=0,NA(),'Time series'!HW1)</f>
        <v>44530</v>
      </c>
      <c r="HX58" s="6">
        <f>IF('Time series'!HX1=0,NA(),'Time series'!HX1)</f>
        <v>44531</v>
      </c>
      <c r="HY58" s="6">
        <f>IF('Time series'!HY1=0,NA(),'Time series'!HY1)</f>
        <v>44532</v>
      </c>
      <c r="HZ58" s="6">
        <f>IF('Time series'!HZ1=0,NA(),'Time series'!HZ1)</f>
        <v>44533</v>
      </c>
      <c r="IA58" s="6">
        <f>IF('Time series'!IA1=0,NA(),'Time series'!IA1)</f>
        <v>44536</v>
      </c>
      <c r="IB58" s="6">
        <f>IF('Time series'!IB1=0,NA(),'Time series'!IB1)</f>
        <v>44537</v>
      </c>
      <c r="IC58" s="6">
        <f>IF('Time series'!IC1=0,NA(),'Time series'!IC1)</f>
        <v>44538</v>
      </c>
      <c r="ID58" s="6">
        <f>IF('Time series'!ID1=0,NA(),'Time series'!ID1)</f>
        <v>44539</v>
      </c>
      <c r="IE58" s="6">
        <f>IF('Time series'!IE1=0,NA(),'Time series'!IE1)</f>
        <v>44540</v>
      </c>
      <c r="IF58" s="6">
        <f>IF('Time series'!IF1=0,NA(),'Time series'!IF1)</f>
        <v>44543</v>
      </c>
      <c r="IG58" s="6">
        <f>IF('Time series'!IG1=0,NA(),'Time series'!IG1)</f>
        <v>44544</v>
      </c>
      <c r="IH58" s="6">
        <f>IF('Time series'!IH1=0,NA(),'Time series'!IH1)</f>
        <v>44545</v>
      </c>
      <c r="II58" s="6" t="e">
        <f>IF('Time series'!II1=0,NA(),'Time series'!II1)</f>
        <v>#N/A</v>
      </c>
      <c r="IJ58" s="6" t="e">
        <f>IF('Time series'!IJ1=0,NA(),'Time series'!IJ1)</f>
        <v>#N/A</v>
      </c>
      <c r="IK58" s="6" t="e">
        <f>IF('Time series'!IK1=0,NA(),'Time series'!IK1)</f>
        <v>#N/A</v>
      </c>
      <c r="IL58" s="6" t="e">
        <f>IF('Time series'!IL1=0,NA(),'Time series'!IL1)</f>
        <v>#N/A</v>
      </c>
      <c r="IM58" s="6" t="e">
        <f>IF('Time series'!IM1=0,NA(),'Time series'!IM1)</f>
        <v>#N/A</v>
      </c>
      <c r="IN58" s="6" t="e">
        <f>IF('Time series'!IN1=0,NA(),'Time series'!IN1)</f>
        <v>#N/A</v>
      </c>
      <c r="IO58" s="6" t="e">
        <f>IF('Time series'!IO1=0,NA(),'Time series'!IO1)</f>
        <v>#N/A</v>
      </c>
      <c r="IP58" s="6" t="e">
        <f>IF('Time series'!IP1=0,NA(),'Time series'!IP1)</f>
        <v>#N/A</v>
      </c>
      <c r="IQ58" s="6" t="e">
        <f>IF('Time series'!IQ1=0,NA(),'Time series'!IQ1)</f>
        <v>#N/A</v>
      </c>
      <c r="IR58" s="6" t="e">
        <f>IF('Time series'!IR1=0,NA(),'Time series'!IR1)</f>
        <v>#N/A</v>
      </c>
      <c r="IS58" s="6" t="e">
        <f>IF('Time series'!IS1=0,NA(),'Time series'!IS1)</f>
        <v>#N/A</v>
      </c>
      <c r="IT58" s="6" t="e">
        <f>IF('Time series'!IT1=0,NA(),'Time series'!IT1)</f>
        <v>#N/A</v>
      </c>
      <c r="IU58" s="6" t="e">
        <f>IF('Time series'!IU1=0,NA(),'Time series'!IU1)</f>
        <v>#N/A</v>
      </c>
      <c r="IV58" s="6" t="e">
        <f>IF('Time series'!IV1=0,NA(),'Time series'!IV1)</f>
        <v>#N/A</v>
      </c>
      <c r="IW58" s="6" t="e">
        <f>IF('Time series'!IW1=0,NA(),'Time series'!IW1)</f>
        <v>#N/A</v>
      </c>
      <c r="IX58" s="6" t="e">
        <f>IF('Time series'!IX1=0,NA(),'Time series'!IX1)</f>
        <v>#N/A</v>
      </c>
      <c r="IY58" s="6" t="e">
        <f>IF('Time series'!IY1=0,NA(),'Time series'!IY1)</f>
        <v>#N/A</v>
      </c>
      <c r="IZ58" s="6" t="e">
        <f>IF('Time series'!IZ1=0,NA(),'Time series'!IZ1)</f>
        <v>#N/A</v>
      </c>
      <c r="JA58" s="6" t="e">
        <f>IF('Time series'!JA1=0,NA(),'Time series'!JA1)</f>
        <v>#N/A</v>
      </c>
      <c r="JB58" s="6" t="e">
        <f>IF('Time series'!JB1=0,NA(),'Time series'!JB1)</f>
        <v>#N/A</v>
      </c>
      <c r="JC58" s="6" t="e">
        <f>IF('Time series'!JC1=0,NA(),'Time series'!JC1)</f>
        <v>#N/A</v>
      </c>
      <c r="JD58" s="6" t="e">
        <f>IF('Time series'!JD1=0,NA(),'Time series'!JD1)</f>
        <v>#N/A</v>
      </c>
      <c r="JE58" s="6" t="e">
        <f>IF('Time series'!JE1=0,NA(),'Time series'!JE1)</f>
        <v>#N/A</v>
      </c>
      <c r="JF58" s="6" t="e">
        <f>IF('Time series'!JF1=0,NA(),'Time series'!JF1)</f>
        <v>#N/A</v>
      </c>
      <c r="JG58" s="6" t="e">
        <f>IF('Time series'!JG1=0,NA(),'Time series'!JG1)</f>
        <v>#N/A</v>
      </c>
      <c r="JH58" s="6" t="e">
        <f>IF('Time series'!JH1=0,NA(),'Time series'!JH1)</f>
        <v>#N/A</v>
      </c>
      <c r="JI58" s="6" t="e">
        <f>IF('Time series'!JI1=0,NA(),'Time series'!JI1)</f>
        <v>#N/A</v>
      </c>
    </row>
    <row r="59" spans="1:269">
      <c r="A59">
        <f>MATCH(Q1,'Time series'!A:A,0)</f>
        <v>2</v>
      </c>
      <c r="B59">
        <f>IF(INDEX('Time series'!B:B,$A$59)=0,NA(),INDEX('Time series'!B:B,$A$59))</f>
        <v>107.474998</v>
      </c>
      <c r="C59">
        <f>IF(INDEX('Time series'!C:C,$A$59)=0,NA(),INDEX('Time series'!C:C,$A$59))</f>
        <v>108.324997</v>
      </c>
      <c r="D59">
        <f>IF(INDEX('Time series'!D:D,$A$59)=0,NA(),INDEX('Time series'!D:D,$A$59))</f>
        <v>107.599998</v>
      </c>
      <c r="E59">
        <f>IF(INDEX('Time series'!E:E,$A$59)=0,NA(),INDEX('Time series'!E:E,$A$59))</f>
        <v>105.637497</v>
      </c>
      <c r="F59">
        <f>IF(INDEX('Time series'!F:F,$A$59)=0,NA(),INDEX('Time series'!F:F,$A$59))</f>
        <v>105.675003</v>
      </c>
      <c r="G59">
        <f>IF(INDEX('Time series'!G:G,$A$59)=0,NA(),INDEX('Time series'!G:G,$A$59))</f>
        <v>108.375</v>
      </c>
      <c r="H59">
        <f>IF(INDEX('Time series'!H:H,$A$59)=0,NA(),INDEX('Time series'!H:H,$A$59))</f>
        <v>108.425003</v>
      </c>
      <c r="I59">
        <f>IF(INDEX('Time series'!I:I,$A$59)=0,NA(),INDEX('Time series'!I:I,$A$59))</f>
        <v>106.787498</v>
      </c>
      <c r="J59">
        <f>IF(INDEX('Time series'!J:J,$A$59)=0,NA(),INDEX('Time series'!J:J,$A$59))</f>
        <v>107.449997</v>
      </c>
      <c r="K59">
        <f>IF(INDEX('Time series'!K:K,$A$59)=0,NA(),INDEX('Time series'!K:K,$A$59))</f>
        <v>107.5625</v>
      </c>
      <c r="L59">
        <f>IF(INDEX('Time series'!L:L,$A$59)=0,NA(),INDEX('Time series'!L:L,$A$59))</f>
        <v>113.137497</v>
      </c>
      <c r="M59">
        <f>IF(INDEX('Time series'!M:M,$A$59)=0,NA(),INDEX('Time series'!M:M,$A$59))</f>
        <v>112.175003</v>
      </c>
      <c r="N59">
        <f>IF(INDEX('Time series'!N:N,$A$59)=0,NA(),INDEX('Time series'!N:N,$A$59))</f>
        <v>111.375</v>
      </c>
      <c r="O59">
        <f>IF(INDEX('Time series'!O:O,$A$59)=0,NA(),INDEX('Time series'!O:O,$A$59))</f>
        <v>110.087502</v>
      </c>
      <c r="P59">
        <f>IF(INDEX('Time series'!P:P,$A$59)=0,NA(),INDEX('Time series'!P:P,$A$59))</f>
        <v>107.775002</v>
      </c>
      <c r="Q59">
        <f>IF(INDEX('Time series'!Q:Q,$A$59)=0,NA(),INDEX('Time series'!Q:Q,$A$59))</f>
        <v>105.9375</v>
      </c>
      <c r="R59">
        <f>IF(INDEX('Time series'!R:R,$A$59)=0,NA(),INDEX('Time series'!R:R,$A$59))</f>
        <v>109.775002</v>
      </c>
      <c r="S59">
        <f>IF(INDEX('Time series'!S:S,$A$59)=0,NA(),INDEX('Time series'!S:S,$A$59))</f>
        <v>112.137497</v>
      </c>
      <c r="T59">
        <f>IF(INDEX('Time series'!T:T,$A$59)=0,NA(),INDEX('Time series'!T:T,$A$59))</f>
        <v>112.074997</v>
      </c>
      <c r="U59">
        <f>IF(INDEX('Time series'!U:U,$A$59)=0,NA(),INDEX('Time series'!U:U,$A$59))</f>
        <v>111.150002</v>
      </c>
      <c r="V59">
        <f>IF(INDEX('Time series'!V:V,$A$59)=0,NA(),INDEX('Time series'!V:V,$A$59))</f>
        <v>111.625</v>
      </c>
      <c r="W59">
        <f>IF(INDEX('Time series'!W:W,$A$59)=0,NA(),INDEX('Time series'!W:W,$A$59))</f>
        <v>107.3125</v>
      </c>
      <c r="X59">
        <f>IF(INDEX('Time series'!X:X,$A$59)=0,NA(),INDEX('Time series'!X:X,$A$59))</f>
        <v>108.362503</v>
      </c>
      <c r="Y59">
        <f>IF(INDEX('Time series'!Y:Y,$A$59)=0,NA(),INDEX('Time series'!Y:Y,$A$59))</f>
        <v>107.537498</v>
      </c>
      <c r="Z59">
        <f>IF(INDEX('Time series'!Z:Z,$A$59)=0,NA(),INDEX('Time series'!Z:Z,$A$59))</f>
        <v>107.775002</v>
      </c>
      <c r="AF59">
        <f>IF(INDEX('Time series'!AF:AF,$A$59)=0,NA(),INDEX('Time series'!AF:AF,$A$59))</f>
        <v>118.712502</v>
      </c>
      <c r="AG59">
        <f>IF(INDEX('Time series'!AG:AG,$A$59)=0,NA(),INDEX('Time series'!AG:AG,$A$59))</f>
        <v>120.5</v>
      </c>
      <c r="AH59">
        <f>IF(INDEX('Time series'!AH:AH,$A$59)=0,NA(),INDEX('Time series'!AH:AH,$A$59))</f>
        <v>125.550003</v>
      </c>
      <c r="AI59">
        <f>IF(INDEX('Time series'!AI:AI,$A$59)=0,NA(),INDEX('Time series'!AI:AI,$A$59))</f>
        <v>125.775002</v>
      </c>
      <c r="AJ59">
        <f>IF(INDEX('Time series'!AJ:AJ,$A$59)=0,NA(),INDEX('Time series'!AJ:AJ,$A$59))</f>
        <v>125.25</v>
      </c>
      <c r="AK59">
        <f>IF(INDEX('Time series'!AK:AK,$A$59)=0,NA(),INDEX('Time series'!AK:AK,$A$59))</f>
        <v>123.137497</v>
      </c>
      <c r="AL59">
        <f>IF(INDEX('Time series'!AL:AL,$A$59)=0,NA(),INDEX('Time series'!AL:AL,$A$59))</f>
        <v>121.800003</v>
      </c>
      <c r="AM59">
        <f>IF(INDEX('Time series'!AM:AM,$A$59)=0,NA(),INDEX('Time series'!AM:AM,$A$59))</f>
        <v>124.824997</v>
      </c>
      <c r="AN59">
        <f>IF(INDEX('Time series'!AN:AN,$A$59)=0,NA(),INDEX('Time series'!AN:AN,$A$59))</f>
        <v>121.737503</v>
      </c>
      <c r="AO59">
        <f>IF(INDEX('Time series'!AO:AO,$A$59)=0,NA(),INDEX('Time series'!AO:AO,$A$59))</f>
        <v>114.962502</v>
      </c>
      <c r="AP59">
        <f>IF(INDEX('Time series'!AP:AP,$A$59)=0,NA(),INDEX('Time series'!AP:AP,$A$59))</f>
        <v>116.012497</v>
      </c>
      <c r="AQ59">
        <f>IF(INDEX('Time series'!AQ:AQ,$A$59)=0,NA(),INDEX('Time series'!AQ:AQ,$A$59))</f>
        <v>112.974998</v>
      </c>
      <c r="AR59">
        <f>IF(INDEX('Time series'!AR:AR,$A$59)=0,NA(),INDEX('Time series'!AR:AR,$A$59))</f>
        <v>113.550003</v>
      </c>
      <c r="AS59">
        <f>IF(INDEX('Time series'!AS:AS,$A$59)=0,NA(),INDEX('Time series'!AS:AS,$A$59))</f>
        <v>114.012497</v>
      </c>
      <c r="AT59">
        <f>IF(INDEX('Time series'!AT:AT,$A$59)=0,NA(),INDEX('Time series'!AT:AT,$A$59))</f>
        <v>112.900002</v>
      </c>
      <c r="AU59">
        <f>IF(INDEX('Time series'!AU:AU,$A$59)=0,NA(),INDEX('Time series'!AU:AU,$A$59))</f>
        <v>108.4375</v>
      </c>
      <c r="AV59">
        <f>IF(INDEX('Time series'!AV:AV,$A$59)=0,NA(),INDEX('Time series'!AV:AV,$A$59))</f>
        <v>105.125</v>
      </c>
      <c r="AW59">
        <f>IF(INDEX('Time series'!AW:AW,$A$59)=0,NA(),INDEX('Time series'!AW:AW,$A$59))</f>
        <v>99.125</v>
      </c>
      <c r="AX59">
        <f>IF(INDEX('Time series'!AX:AX,$A$59)=0,NA(),INDEX('Time series'!AX:AX,$A$59))</f>
        <v>102.050003</v>
      </c>
      <c r="AY59">
        <f>IF(INDEX('Time series'!AY:AY,$A$59)=0,NA(),INDEX('Time series'!AY:AY,$A$59))</f>
        <v>104.287498</v>
      </c>
      <c r="AZ59">
        <f>IF(INDEX('Time series'!AZ:AZ,$A$59)=0,NA(),INDEX('Time series'!AZ:AZ,$A$59))</f>
        <v>106.625</v>
      </c>
      <c r="BA59">
        <f>IF(INDEX('Time series'!BA:BA,$A$59)=0,NA(),INDEX('Time series'!BA:BA,$A$59))</f>
        <v>108.387497</v>
      </c>
      <c r="BB59">
        <f>IF(INDEX('Time series'!BB:BB,$A$59)=0,NA(),INDEX('Time series'!BB:BB,$A$59))</f>
        <v>106.474998</v>
      </c>
      <c r="BC59">
        <f>IF(INDEX('Time series'!BC:BC,$A$59)=0,NA(),INDEX('Time series'!BC:BC,$A$59))</f>
        <v>109.125</v>
      </c>
      <c r="BD59">
        <f>IF(INDEX('Time series'!BD:BD,$A$59)=0,NA(),INDEX('Time series'!BD:BD,$A$59))</f>
        <v>111.9375</v>
      </c>
      <c r="BE59">
        <f>IF(INDEX('Time series'!BE:BE,$A$59)=0,NA(),INDEX('Time series'!BE:BE,$A$59))</f>
        <v>110.112503</v>
      </c>
      <c r="BF59">
        <f>IF(INDEX('Time series'!BF:BF,$A$59)=0,NA(),INDEX('Time series'!BF:BF,$A$59))</f>
        <v>109.724998</v>
      </c>
      <c r="BG59">
        <f>IF(INDEX('Time series'!BG:BG,$A$59)=0,NA(),INDEX('Time series'!BG:BG,$A$59))</f>
        <v>107.987503</v>
      </c>
      <c r="BH59">
        <f>IF(INDEX('Time series'!BH:BH,$A$59)=0,NA(),INDEX('Time series'!BH:BH,$A$59))</f>
        <v>111.775002</v>
      </c>
      <c r="BI59">
        <f>IF(INDEX('Time series'!BI:BI,$A$59)=0,NA(),INDEX('Time series'!BI:BI,$A$59))</f>
        <v>111.337502</v>
      </c>
      <c r="BJ59">
        <f>IF(INDEX('Time series'!BJ:BJ,$A$59)=0,NA(),INDEX('Time series'!BJ:BJ,$A$59))</f>
        <v>109.037498</v>
      </c>
      <c r="BK59">
        <f>IF(INDEX('Time series'!BK:BK,$A$59)=0,NA(),INDEX('Time series'!BK:BK,$A$59))</f>
        <v>106.4375</v>
      </c>
      <c r="BL59">
        <f>IF(INDEX('Time series'!BL:BL,$A$59)=0,NA(),INDEX('Time series'!BL:BL,$A$59))</f>
        <v>106.724998</v>
      </c>
      <c r="BM59">
        <f>IF(INDEX('Time series'!BM:BM,$A$59)=0,NA(),INDEX('Time series'!BM:BM,$A$59))</f>
        <v>108.487503</v>
      </c>
      <c r="BN59">
        <f>IF(INDEX('Time series'!BN:BN,$A$59)=0,NA(),INDEX('Time series'!BN:BN,$A$59))</f>
        <v>110.4375</v>
      </c>
      <c r="BO59">
        <f>IF(INDEX('Time series'!BO:BO,$A$59)=0,NA(),INDEX('Time series'!BO:BO,$A$59))</f>
        <v>113.137497</v>
      </c>
      <c r="BP59">
        <f>IF(INDEX('Time series'!BP:BP,$A$59)=0,NA(),INDEX('Time series'!BP:BP,$A$59))</f>
        <v>116.324997</v>
      </c>
      <c r="BQ59">
        <f>IF(INDEX('Time series'!BQ:BQ,$A$59)=0,NA(),INDEX('Time series'!BQ:BQ,$A$59))</f>
        <v>118.349998</v>
      </c>
      <c r="BR59">
        <f>IF(INDEX('Time series'!BR:BR,$A$59)=0,NA(),INDEX('Time series'!BR:BR,$A$59))</f>
        <v>117.525002</v>
      </c>
      <c r="BS59">
        <f>IF(INDEX('Time series'!BS:BS,$A$59)=0,NA(),INDEX('Time series'!BS:BS,$A$59))</f>
        <v>120.775002</v>
      </c>
      <c r="BT59">
        <f>IF(INDEX('Time series'!BT:BT,$A$59)=0,NA(),INDEX('Time series'!BT:BT,$A$59))</f>
        <v>120.349998</v>
      </c>
      <c r="BU59">
        <f>IF(INDEX('Time series'!BU:BU,$A$59)=0,NA(),INDEX('Time series'!BU:BU,$A$59))</f>
        <v>119.675003</v>
      </c>
      <c r="BV59">
        <f>IF(INDEX('Time series'!BV:BV,$A$59)=0,NA(),INDEX('Time series'!BV:BV,$A$59))</f>
        <v>130</v>
      </c>
      <c r="BW59">
        <f>IF(INDEX('Time series'!BW:BW,$A$59)=0,NA(),INDEX('Time series'!BW:BW,$A$59))</f>
        <v>129.550003</v>
      </c>
      <c r="BX59">
        <f>IF(INDEX('Time series'!BX:BX,$A$59)=0,NA(),INDEX('Time series'!BX:BX,$A$59))</f>
        <v>133.22500600000001</v>
      </c>
      <c r="BY59">
        <f>IF(INDEX('Time series'!BY:BY,$A$59)=0,NA(),INDEX('Time series'!BY:BY,$A$59))</f>
        <v>133.125</v>
      </c>
      <c r="BZ59">
        <f>IF(INDEX('Time series'!BZ:BZ,$A$59)=0,NA(),INDEX('Time series'!BZ:BZ,$A$59))</f>
        <v>128.449997</v>
      </c>
      <c r="CA59">
        <f>IF(INDEX('Time series'!CA:CA,$A$59)=0,NA(),INDEX('Time series'!CA:CA,$A$59))</f>
        <v>124.724998</v>
      </c>
      <c r="CB59">
        <f>IF(INDEX('Time series'!CB:CB,$A$59)=0,NA(),INDEX('Time series'!CB:CB,$A$59))</f>
        <v>126.949997</v>
      </c>
      <c r="CC59">
        <f>IF(INDEX('Time series'!CC:CC,$A$59)=0,NA(),INDEX('Time series'!CC:CC,$A$59))</f>
        <v>127.199997</v>
      </c>
      <c r="CD59">
        <f>IF(INDEX('Time series'!CD:CD,$A$59)=0,NA(),INDEX('Time series'!CD:CD,$A$59))</f>
        <v>125.775002</v>
      </c>
      <c r="CE59">
        <f>IF(INDEX('Time series'!CE:CE,$A$59)=0,NA(),INDEX('Time series'!CE:CE,$A$59))</f>
        <v>127.400002</v>
      </c>
      <c r="CF59">
        <f>IF(INDEX('Time series'!CF:CF,$A$59)=0,NA(),INDEX('Time series'!CF:CF,$A$59))</f>
        <v>127.525002</v>
      </c>
      <c r="CG59">
        <f>IF(INDEX('Time series'!CG:CG,$A$59)=0,NA(),INDEX('Time series'!CG:CG,$A$59))</f>
        <v>126.425003</v>
      </c>
      <c r="CH59">
        <f>IF(INDEX('Time series'!CH:CH,$A$59)=0,NA(),INDEX('Time series'!CH:CH,$A$59))</f>
        <v>125.775002</v>
      </c>
      <c r="CI59">
        <f>IF(INDEX('Time series'!CI:CI,$A$59)=0,NA(),INDEX('Time series'!CI:CI,$A$59))</f>
        <v>126.275002</v>
      </c>
      <c r="CJ59">
        <f>IF(INDEX('Time series'!CJ:CJ,$A$59)=0,NA(),INDEX('Time series'!CJ:CJ,$A$59))</f>
        <v>123.400002</v>
      </c>
      <c r="CK59">
        <f>IF(INDEX('Time series'!CK:CK,$A$59)=0,NA(),INDEX('Time series'!CK:CK,$A$59))</f>
        <v>117.125</v>
      </c>
      <c r="CL59">
        <f>IF(INDEX('Time series'!CL:CL,$A$59)=0,NA(),INDEX('Time series'!CL:CL,$A$59))</f>
        <v>122.699997</v>
      </c>
      <c r="CM59">
        <f>IF(INDEX('Time series'!CM:CM,$A$59)=0,NA(),INDEX('Time series'!CM:CM,$A$59))</f>
        <v>119.887497</v>
      </c>
      <c r="CN59">
        <f>IF(INDEX('Time series'!CN:CN,$A$59)=0,NA(),INDEX('Time series'!CN:CN,$A$59))</f>
        <v>122.412498</v>
      </c>
      <c r="CO59">
        <f>IF(INDEX('Time series'!CO:CO,$A$59)=0,NA(),INDEX('Time series'!CO:CO,$A$59))</f>
        <v>118.474998</v>
      </c>
      <c r="CP59">
        <f>IF(INDEX('Time series'!CP:CP,$A$59)=0,NA(),INDEX('Time series'!CP:CP,$A$59))</f>
        <v>116.75</v>
      </c>
      <c r="CQ59">
        <f>IF(INDEX('Time series'!CQ:CQ,$A$59)=0,NA(),INDEX('Time series'!CQ:CQ,$A$59))</f>
        <v>115.862503</v>
      </c>
      <c r="CR59">
        <f>IF(INDEX('Time series'!CR:CR,$A$59)=0,NA(),INDEX('Time series'!CR:CR,$A$59))</f>
        <v>116.0625</v>
      </c>
      <c r="CS59">
        <f>IF(INDEX('Time series'!CS:CS,$A$59)=0,NA(),INDEX('Time series'!CS:CS,$A$59))</f>
        <v>115.3125</v>
      </c>
      <c r="CT59">
        <f>IF(INDEX('Time series'!CT:CT,$A$59)=0,NA(),INDEX('Time series'!CT:CT,$A$59))</f>
        <v>116.362503</v>
      </c>
      <c r="CU59">
        <f>IF(INDEX('Time series'!CU:CU,$A$59)=0,NA(),INDEX('Time series'!CU:CU,$A$59))</f>
        <v>113.025002</v>
      </c>
      <c r="CV59">
        <f>IF(INDEX('Time series'!CV:CV,$A$59)=0,NA(),INDEX('Time series'!CV:CV,$A$59))</f>
        <v>119.387497</v>
      </c>
      <c r="CW59">
        <f>IF(INDEX('Time series'!CW:CW,$A$59)=0,NA(),INDEX('Time series'!CW:CW,$A$59))</f>
        <v>122.537498</v>
      </c>
      <c r="CX59">
        <f>IF(INDEX('Time series'!CX:CX,$A$59)=0,NA(),INDEX('Time series'!CX:CX,$A$59))</f>
        <v>126.849998</v>
      </c>
      <c r="CY59">
        <f>IF(INDEX('Time series'!CY:CY,$A$59)=0,NA(),INDEX('Time series'!CY:CY,$A$59))</f>
        <v>127.875</v>
      </c>
      <c r="CZ59">
        <f>IF(INDEX('Time series'!CZ:CZ,$A$59)=0,NA(),INDEX('Time series'!CZ:CZ,$A$59))</f>
        <v>128.14999399999999</v>
      </c>
      <c r="DA59">
        <f>IF(INDEX('Time series'!DA:DA,$A$59)=0,NA(),INDEX('Time series'!DA:DA,$A$59))</f>
        <v>132.199997</v>
      </c>
      <c r="DB59">
        <f>IF(INDEX('Time series'!DB:DB,$A$59)=0,NA(),INDEX('Time series'!DB:DB,$A$59))</f>
        <v>131.35000600000001</v>
      </c>
      <c r="DC59">
        <f>IF(INDEX('Time series'!DC:DC,$A$59)=0,NA(),INDEX('Time series'!DC:DC,$A$59))</f>
        <v>137.47500600000001</v>
      </c>
      <c r="DD59">
        <f>IF(INDEX('Time series'!DD:DD,$A$59)=0,NA(),INDEX('Time series'!DD:DD,$A$59))</f>
        <v>139.050003</v>
      </c>
      <c r="DE59">
        <f>IF(INDEX('Time series'!DE:DE,$A$59)=0,NA(),INDEX('Time series'!DE:DE,$A$59))</f>
        <v>144.39999399999999</v>
      </c>
      <c r="DF59">
        <f>IF(INDEX('Time series'!DF:DF,$A$59)=0,NA(),INDEX('Time series'!DF:DF,$A$59))</f>
        <v>142.125</v>
      </c>
      <c r="DG59">
        <f>IF(INDEX('Time series'!DG:DG,$A$59)=0,NA(),INDEX('Time series'!DG:DG,$A$59))</f>
        <v>142.324997</v>
      </c>
      <c r="DH59">
        <f>IF(INDEX('Time series'!DH:DH,$A$59)=0,NA(),INDEX('Time series'!DH:DH,$A$59))</f>
        <v>142.449997</v>
      </c>
      <c r="DI59">
        <f>IF(INDEX('Time series'!DI:DI,$A$59)=0,NA(),INDEX('Time series'!DI:DI,$A$59))</f>
        <v>142.925003</v>
      </c>
      <c r="DJ59">
        <f>IF(INDEX('Time series'!DJ:DJ,$A$59)=0,NA(),INDEX('Time series'!DJ:DJ,$A$59))</f>
        <v>146.300003</v>
      </c>
      <c r="DK59">
        <f>IF(INDEX('Time series'!DK:DK,$A$59)=0,NA(),INDEX('Time series'!DK:DK,$A$59))</f>
        <v>147.27499399999999</v>
      </c>
      <c r="DL59">
        <f>IF(INDEX('Time series'!DL:DL,$A$59)=0,NA(),INDEX('Time series'!DL:DL,$A$59))</f>
        <v>147.175003</v>
      </c>
      <c r="DM59">
        <f>IF(INDEX('Time series'!DM:DM,$A$59)=0,NA(),INDEX('Time series'!DM:DM,$A$59))</f>
        <v>147.25</v>
      </c>
      <c r="DN59">
        <f>IF(INDEX('Time series'!DN:DN,$A$59)=0,NA(),INDEX('Time series'!DN:DN,$A$59))</f>
        <v>156.97500600000001</v>
      </c>
      <c r="DO59">
        <f>IF(INDEX('Time series'!DO:DO,$A$59)=0,NA(),INDEX('Time series'!DO:DO,$A$59))</f>
        <v>160.925003</v>
      </c>
      <c r="DP59">
        <f>IF(INDEX('Time series'!DP:DP,$A$59)=0,NA(),INDEX('Time series'!DP:DP,$A$59))</f>
        <v>151</v>
      </c>
      <c r="DQ59">
        <f>IF(INDEX('Time series'!DQ:DQ,$A$59)=0,NA(),INDEX('Time series'!DQ:DQ,$A$59))</f>
        <v>157.824997</v>
      </c>
      <c r="DR59">
        <f>IF(INDEX('Time series'!DR:DR,$A$59)=0,NA(),INDEX('Time series'!DR:DR,$A$59))</f>
        <v>161.97500600000001</v>
      </c>
      <c r="DS59">
        <f>IF(INDEX('Time series'!DS:DS,$A$59)=0,NA(),INDEX('Time series'!DS:DS,$A$59))</f>
        <v>159.77499399999999</v>
      </c>
      <c r="DT59">
        <f>IF(INDEX('Time series'!DT:DT,$A$59)=0,NA(),INDEX('Time series'!DT:DT,$A$59))</f>
        <v>167.5</v>
      </c>
      <c r="DU59">
        <f>IF(INDEX('Time series'!DU:DU,$A$59)=0,NA(),INDEX('Time series'!DU:DU,$A$59))</f>
        <v>166.699997</v>
      </c>
      <c r="DV59">
        <f>IF(INDEX('Time series'!DV:DV,$A$59)=0,NA(),INDEX('Time series'!DV:DV,$A$59))</f>
        <v>167.85000600000001</v>
      </c>
      <c r="DW59">
        <f>IF(INDEX('Time series'!DW:DW,$A$59)=0,NA(),INDEX('Time series'!DW:DW,$A$59))</f>
        <v>169.5</v>
      </c>
      <c r="DX59">
        <f>IF(INDEX('Time series'!DX:DX,$A$59)=0,NA(),INDEX('Time series'!DX:DX,$A$59))</f>
        <v>172.22500600000001</v>
      </c>
      <c r="DY59">
        <f>IF(INDEX('Time series'!DY:DY,$A$59)=0,NA(),INDEX('Time series'!DY:DY,$A$59))</f>
        <v>175</v>
      </c>
      <c r="DZ59">
        <f>IF(INDEX('Time series'!DZ:DZ,$A$59)=0,NA(),INDEX('Time series'!DZ:DZ,$A$59))</f>
        <v>172.85000600000001</v>
      </c>
      <c r="EA59">
        <f>IF(INDEX('Time series'!EA:EA,$A$59)=0,NA(),INDEX('Time series'!EA:EA,$A$59))</f>
        <v>168.175003</v>
      </c>
      <c r="EB59">
        <f>IF(INDEX('Time series'!EB:EB,$A$59)=0,NA(),INDEX('Time series'!EB:EB,$A$59))</f>
        <v>168.300003</v>
      </c>
      <c r="EC59">
        <f>IF(INDEX('Time series'!EC:EC,$A$59)=0,NA(),INDEX('Time series'!EC:EC,$A$59))</f>
        <v>171.925003</v>
      </c>
      <c r="ED59">
        <f>IF(INDEX('Time series'!ED:ED,$A$59)=0,NA(),INDEX('Time series'!ED:ED,$A$59))</f>
        <v>172.14999399999999</v>
      </c>
      <c r="EE59">
        <f>IF(INDEX('Time series'!EE:EE,$A$59)=0,NA(),INDEX('Time series'!EE:EE,$A$59))</f>
        <v>168.550003</v>
      </c>
      <c r="EF59">
        <f>IF(INDEX('Time series'!EF:EF,$A$59)=0,NA(),INDEX('Time series'!EF:EF,$A$59))</f>
        <v>164.85000600000001</v>
      </c>
      <c r="EG59">
        <f>IF(INDEX('Time series'!EG:EG,$A$59)=0,NA(),INDEX('Time series'!EG:EG,$A$59))</f>
        <v>157.14999399999999</v>
      </c>
      <c r="EH59">
        <f>IF(INDEX('Time series'!EH:EH,$A$59)=0,NA(),INDEX('Time series'!EH:EH,$A$59))</f>
        <v>160.199997</v>
      </c>
      <c r="EI59">
        <f>IF(INDEX('Time series'!EI:EI,$A$59)=0,NA(),INDEX('Time series'!EI:EI,$A$59))</f>
        <v>157.08000200000001</v>
      </c>
      <c r="EJ59">
        <f>IF(INDEX('Time series'!EJ:EJ,$A$59)=0,NA(),INDEX('Time series'!EJ:EJ,$A$59))</f>
        <v>165.03999300000001</v>
      </c>
      <c r="EK59">
        <f>IF(INDEX('Time series'!EK:EK,$A$59)=0,NA(),INDEX('Time series'!EK:EK,$A$59))</f>
        <v>164.38000500000001</v>
      </c>
      <c r="EL59">
        <f>IF(INDEX('Time series'!EL:EL,$A$59)=0,NA(),INDEX('Time series'!EL:EL,$A$59))</f>
        <v>165.240005</v>
      </c>
      <c r="EM59">
        <f>IF(INDEX('Time series'!EM:EM,$A$59)=0,NA(),INDEX('Time series'!EM:EM,$A$59))</f>
        <v>163.520004</v>
      </c>
      <c r="EN59">
        <f>IF(INDEX('Time series'!EN:EN,$A$59)=0,NA(),INDEX('Time series'!EN:EN,$A$59))</f>
        <v>160.16000399999999</v>
      </c>
      <c r="EO59">
        <f>IF(INDEX('Time series'!EO:EO,$A$59)=0,NA(),INDEX('Time series'!EO:EO,$A$59))</f>
        <v>164.5</v>
      </c>
      <c r="EP59">
        <f>IF(INDEX('Time series'!EP:EP,$A$59)=0,NA(),INDEX('Time series'!EP:EP,$A$59))</f>
        <v>166.300003</v>
      </c>
      <c r="EQ59">
        <f>IF(INDEX('Time series'!EQ:EQ,$A$59)=0,NA(),INDEX('Time series'!EQ:EQ,$A$59))</f>
        <v>163.86000100000001</v>
      </c>
      <c r="ER59">
        <f>IF(INDEX('Time series'!ER:ER,$A$59)=0,NA(),INDEX('Time series'!ER:ER,$A$59))</f>
        <v>166.94000199999999</v>
      </c>
      <c r="ES59">
        <f>IF(INDEX('Time series'!ES:ES,$A$59)=0,NA(),INDEX('Time series'!ES:ES,$A$59))</f>
        <v>163.83999600000001</v>
      </c>
      <c r="ET59">
        <f>IF(INDEX('Time series'!ET:ET,$A$59)=0,NA(),INDEX('Time series'!ET:ET,$A$59))</f>
        <v>170.08000200000001</v>
      </c>
      <c r="EU59">
        <f>IF(INDEX('Time series'!EU:EU,$A$59)=0,NA(),INDEX('Time series'!EU:EU,$A$59))</f>
        <v>173.55999800000001</v>
      </c>
      <c r="EV59">
        <f>IF(INDEX('Time series'!EV:EV,$A$59)=0,NA(),INDEX('Time series'!EV:EV,$A$59))</f>
        <v>173.179993</v>
      </c>
      <c r="EW59">
        <f>IF(INDEX('Time series'!EW:EW,$A$59)=0,NA(),INDEX('Time series'!EW:EW,$A$59))</f>
        <v>173.179993</v>
      </c>
      <c r="EX59">
        <f>IF(INDEX('Time series'!EX:EX,$A$59)=0,NA(),INDEX('Time series'!EX:EX,$A$59))</f>
        <v>170.36000100000001</v>
      </c>
      <c r="EY59">
        <f>IF(INDEX('Time series'!EY:EY,$A$59)=0,NA(),INDEX('Time series'!EY:EY,$A$59))</f>
        <v>166.759995</v>
      </c>
      <c r="EZ59">
        <f>IF(INDEX('Time series'!EZ:EZ,$A$59)=0,NA(),INDEX('Time series'!EZ:EZ,$A$59))</f>
        <v>170.16000399999999</v>
      </c>
      <c r="FA59">
        <f>IF(INDEX('Time series'!FA:FA,$A$59)=0,NA(),INDEX('Time series'!FA:FA,$A$59))</f>
        <v>170.36000100000001</v>
      </c>
      <c r="FB59">
        <f>IF(INDEX('Time series'!FB:FB,$A$59)=0,NA(),INDEX('Time series'!FB:FB,$A$59))</f>
        <v>166.679993</v>
      </c>
      <c r="FC59">
        <f>IF(INDEX('Time series'!FC:FC,$A$59)=0,NA(),INDEX('Time series'!FC:FC,$A$59))</f>
        <v>166.61999499999999</v>
      </c>
      <c r="FD59">
        <f>IF(INDEX('Time series'!FD:FD,$A$59)=0,NA(),INDEX('Time series'!FD:FD,$A$59))</f>
        <v>165.479996</v>
      </c>
      <c r="FE59">
        <f>IF(INDEX('Time series'!FE:FE,$A$59)=0,NA(),INDEX('Time series'!FE:FE,$A$59))</f>
        <v>172.740005</v>
      </c>
      <c r="FF59">
        <f>IF(INDEX('Time series'!FF:FF,$A$59)=0,NA(),INDEX('Time series'!FF:FF,$A$59))</f>
        <v>174.740005</v>
      </c>
      <c r="FG59">
        <f>IF(INDEX('Time series'!FG:FG,$A$59)=0,NA(),INDEX('Time series'!FG:FG,$A$59))</f>
        <v>184.63999899999999</v>
      </c>
      <c r="FH59">
        <f>IF(INDEX('Time series'!FH:FH,$A$59)=0,NA(),INDEX('Time series'!FH:FH,$A$59))</f>
        <v>185.020004</v>
      </c>
      <c r="FI59">
        <f>IF(INDEX('Time series'!FI:FI,$A$59)=0,NA(),INDEX('Time series'!FI:FI,$A$59))</f>
        <v>190.44000199999999</v>
      </c>
      <c r="FJ59">
        <f>IF(INDEX('Time series'!FJ:FJ,$A$59)=0,NA(),INDEX('Time series'!FJ:FJ,$A$59))</f>
        <v>187.220001</v>
      </c>
      <c r="FK59">
        <f>IF(INDEX('Time series'!FK:FK,$A$59)=0,NA(),INDEX('Time series'!FK:FK,$A$59))</f>
        <v>190.61999499999999</v>
      </c>
      <c r="FL59">
        <f>IF(INDEX('Time series'!FL:FL,$A$59)=0,NA(),INDEX('Time series'!FL:FL,$A$59))</f>
        <v>192</v>
      </c>
      <c r="FM59">
        <f>IF(INDEX('Time series'!FM:FM,$A$59)=0,NA(),INDEX('Time series'!FM:FM,$A$59))</f>
        <v>189.89999399999999</v>
      </c>
      <c r="FN59">
        <f>IF(INDEX('Time series'!FN:FN,$A$59)=0,NA(),INDEX('Time series'!FN:FN,$A$59))</f>
        <v>190.11999499999999</v>
      </c>
      <c r="FO59">
        <f>IF(INDEX('Time series'!FO:FO,$A$59)=0,NA(),INDEX('Time series'!FO:FO,$A$59))</f>
        <v>190.39999399999999</v>
      </c>
      <c r="FP59">
        <f>IF(INDEX('Time series'!FP:FP,$A$59)=0,NA(),INDEX('Time series'!FP:FP,$A$59))</f>
        <v>192.479996</v>
      </c>
      <c r="FQ59">
        <f>IF(INDEX('Time series'!FQ:FQ,$A$59)=0,NA(),INDEX('Time series'!FQ:FQ,$A$59))</f>
        <v>192.13999899999999</v>
      </c>
      <c r="FR59">
        <f>IF(INDEX('Time series'!FR:FR,$A$59)=0,NA(),INDEX('Time series'!FR:FR,$A$59))</f>
        <v>187.39999399999999</v>
      </c>
      <c r="FS59">
        <f>IF(INDEX('Time series'!FS:FS,$A$59)=0,NA(),INDEX('Time series'!FS:FS,$A$59))</f>
        <v>188.91999799999999</v>
      </c>
      <c r="FT59">
        <f>IF(INDEX('Time series'!FT:FT,$A$59)=0,NA(),INDEX('Time series'!FT:FT,$A$59))</f>
        <v>189.259995</v>
      </c>
      <c r="FU59">
        <f>IF(INDEX('Time series'!FU:FU,$A$59)=0,NA(),INDEX('Time series'!FU:FU,$A$59))</f>
        <v>187.279999</v>
      </c>
      <c r="FV59">
        <f>IF(INDEX('Time series'!FV:FV,$A$59)=0,NA(),INDEX('Time series'!FV:FV,$A$59))</f>
        <v>188.779999</v>
      </c>
      <c r="FW59">
        <f>IF(INDEX('Time series'!FW:FW,$A$59)=0,NA(),INDEX('Time series'!FW:FW,$A$59))</f>
        <v>186.479996</v>
      </c>
      <c r="FX59">
        <f>IF(INDEX('Time series'!FX:FX,$A$59)=0,NA(),INDEX('Time series'!FX:FX,$A$59))</f>
        <v>187.08000200000001</v>
      </c>
      <c r="FY59">
        <f>IF(INDEX('Time series'!FY:FY,$A$59)=0,NA(),INDEX('Time series'!FY:FY,$A$59))</f>
        <v>187.46000699999999</v>
      </c>
      <c r="FZ59">
        <f>IF(INDEX('Time series'!FZ:FZ,$A$59)=0,NA(),INDEX('Time series'!FZ:FZ,$A$59))</f>
        <v>180</v>
      </c>
      <c r="GA59">
        <f>IF(INDEX('Time series'!GA:GA,$A$59)=0,NA(),INDEX('Time series'!GA:GA,$A$59))</f>
        <v>181.94000199999999</v>
      </c>
      <c r="GB59">
        <f>IF(INDEX('Time series'!GB:GB,$A$59)=0,NA(),INDEX('Time series'!GB:GB,$A$59))</f>
        <v>184.800003</v>
      </c>
      <c r="GC59">
        <f>IF(INDEX('Time series'!GC:GC,$A$59)=0,NA(),INDEX('Time series'!GC:GC,$A$59))</f>
        <v>189.740005</v>
      </c>
      <c r="GD59">
        <f>IF(INDEX('Time series'!GD:GD,$A$59)=0,NA(),INDEX('Time series'!GD:GD,$A$59))</f>
        <v>186.699997</v>
      </c>
      <c r="GE59">
        <f>IF(INDEX('Time series'!GE:GE,$A$59)=0,NA(),INDEX('Time series'!GE:GE,$A$59))</f>
        <v>184.46000699999999</v>
      </c>
      <c r="GF59">
        <f>IF(INDEX('Time series'!GF:GF,$A$59)=0,NA(),INDEX('Time series'!GF:GF,$A$59))</f>
        <v>178</v>
      </c>
      <c r="GG59">
        <f>IF(INDEX('Time series'!GG:GG,$A$59)=0,NA(),INDEX('Time series'!GG:GG,$A$59))</f>
        <v>177.05999800000001</v>
      </c>
      <c r="GH59">
        <f>IF(INDEX('Time series'!GH:GH,$A$59)=0,NA(),INDEX('Time series'!GH:GH,$A$59))</f>
        <v>179.979996</v>
      </c>
      <c r="GI59">
        <f>IF(INDEX('Time series'!GI:GI,$A$59)=0,NA(),INDEX('Time series'!GI:GI,$A$59))</f>
        <v>177.020004</v>
      </c>
      <c r="GJ59">
        <f>IF(INDEX('Time series'!GJ:GJ,$A$59)=0,NA(),INDEX('Time series'!GJ:GJ,$A$59))</f>
        <v>170.740005</v>
      </c>
      <c r="GK59">
        <f>IF(INDEX('Time series'!GK:GK,$A$59)=0,NA(),INDEX('Time series'!GK:GK,$A$59))</f>
        <v>176</v>
      </c>
      <c r="GL59">
        <f>IF(INDEX('Time series'!GL:GL,$A$59)=0,NA(),INDEX('Time series'!GL:GL,$A$59))</f>
        <v>177.44000199999999</v>
      </c>
      <c r="GM59">
        <f>IF(INDEX('Time series'!GM:GM,$A$59)=0,NA(),INDEX('Time series'!GM:GM,$A$59))</f>
        <v>183.38000500000001</v>
      </c>
      <c r="GN59">
        <f>IF(INDEX('Time series'!GN:GN,$A$59)=0,NA(),INDEX('Time series'!GN:GN,$A$59))</f>
        <v>181.300003</v>
      </c>
      <c r="GO59">
        <f>IF(INDEX('Time series'!GO:GO,$A$59)=0,NA(),INDEX('Time series'!GO:GO,$A$59))</f>
        <v>181.199997</v>
      </c>
      <c r="GP59">
        <f>IF(INDEX('Time series'!GP:GP,$A$59)=0,NA(),INDEX('Time series'!GP:GP,$A$59))</f>
        <v>179.61999499999999</v>
      </c>
      <c r="GQ59">
        <f>IF(INDEX('Time series'!GQ:GQ,$A$59)=0,NA(),INDEX('Time series'!GQ:GQ,$A$59))</f>
        <v>179.33999600000001</v>
      </c>
      <c r="GR59">
        <f>IF(INDEX('Time series'!GR:GR,$A$59)=0,NA(),INDEX('Time series'!GR:GR,$A$59))</f>
        <v>185.740005</v>
      </c>
      <c r="GS59">
        <f>IF(INDEX('Time series'!GS:GS,$A$59)=0,NA(),INDEX('Time series'!GS:GS,$A$59))</f>
        <v>188.33999600000001</v>
      </c>
      <c r="GT59">
        <f>IF(INDEX('Time series'!GT:GT,$A$59)=0,NA(),INDEX('Time series'!GT:GT,$A$59))</f>
        <v>190.699997</v>
      </c>
      <c r="GU59">
        <f>IF(INDEX('Time series'!GU:GU,$A$59)=0,NA(),INDEX('Time series'!GU:GU,$A$59))</f>
        <v>191.36000100000001</v>
      </c>
      <c r="GV59">
        <f>IF(INDEX('Time series'!GV:GV,$A$59)=0,NA(),INDEX('Time series'!GV:GV,$A$59))</f>
        <v>190.36000100000001</v>
      </c>
      <c r="GW59">
        <f>IF(INDEX('Time series'!GW:GW,$A$59)=0,NA(),INDEX('Time series'!GW:GW,$A$59))</f>
        <v>192.679993</v>
      </c>
      <c r="GX59">
        <f>IF(INDEX('Time series'!GX:GX,$A$59)=0,NA(),INDEX('Time series'!GX:GX,$A$59))</f>
        <v>195.58000200000001</v>
      </c>
      <c r="GY59">
        <f>IF(INDEX('Time series'!GY:GY,$A$59)=0,NA(),INDEX('Time series'!GY:GY,$A$59))</f>
        <v>198.179993</v>
      </c>
      <c r="GZ59">
        <f>IF(INDEX('Time series'!GZ:GZ,$A$59)=0,NA(),INDEX('Time series'!GZ:GZ,$A$59))</f>
        <v>213.550003</v>
      </c>
      <c r="HA59">
        <f>IF(INDEX('Time series'!HA:HA,$A$59)=0,NA(),INDEX('Time series'!HA:HA,$A$59))</f>
        <v>214.449997</v>
      </c>
      <c r="HB59">
        <f>IF(INDEX('Time series'!HB:HB,$A$59)=0,NA(),INDEX('Time series'!HB:HB,$A$59))</f>
        <v>211.14999399999999</v>
      </c>
      <c r="HC59">
        <f>IF(INDEX('Time series'!HC:HC,$A$59)=0,NA(),INDEX('Time series'!HC:HC,$A$59))</f>
        <v>219.800003</v>
      </c>
      <c r="HD59">
        <f>IF(INDEX('Time series'!HD:HD,$A$59)=0,NA(),INDEX('Time series'!HD:HD,$A$59))</f>
        <v>228.949997</v>
      </c>
      <c r="HE59">
        <f>IF(INDEX('Time series'!HE:HE,$A$59)=0,NA(),INDEX('Time series'!HE:HE,$A$59))</f>
        <v>228.25</v>
      </c>
      <c r="HF59">
        <f>IF(INDEX('Time series'!HF:HF,$A$59)=0,NA(),INDEX('Time series'!HF:HF,$A$59))</f>
        <v>254.5</v>
      </c>
      <c r="HG59">
        <f>IF(INDEX('Time series'!HG:HG,$A$59)=0,NA(),INDEX('Time series'!HG:HG,$A$59))</f>
        <v>264.10000600000001</v>
      </c>
      <c r="HH59">
        <f>IF(INDEX('Time series'!HH:HH,$A$59)=0,NA(),INDEX('Time series'!HH:HH,$A$59))</f>
        <v>266.60000600000001</v>
      </c>
      <c r="HI59">
        <f>IF(INDEX('Time series'!HI:HI,$A$59)=0,NA(),INDEX('Time series'!HI:HI,$A$59))</f>
        <v>271.89999399999999</v>
      </c>
      <c r="HJ59">
        <f>IF(INDEX('Time series'!HJ:HJ,$A$59)=0,NA(),INDEX('Time series'!HJ:HJ,$A$59))</f>
        <v>259.54998799999998</v>
      </c>
      <c r="HK59">
        <f>IF(INDEX('Time series'!HK:HK,$A$59)=0,NA(),INDEX('Time series'!HK:HK,$A$59))</f>
        <v>262.75</v>
      </c>
      <c r="HL59">
        <f>IF(INDEX('Time series'!HL:HL,$A$59)=0,NA(),INDEX('Time series'!HL:HL,$A$59))</f>
        <v>266.79998799999998</v>
      </c>
      <c r="HM59">
        <f>IF(INDEX('Time series'!HM:HM,$A$59)=0,NA(),INDEX('Time series'!HM:HM,$A$59))</f>
        <v>262.14999399999999</v>
      </c>
      <c r="HN59">
        <f>IF(INDEX('Time series'!HN:HN,$A$59)=0,NA(),INDEX('Time series'!HN:HN,$A$59))</f>
        <v>267.20001200000002</v>
      </c>
      <c r="HO59">
        <f>IF(INDEX('Time series'!HO:HO,$A$59)=0,NA(),INDEX('Time series'!HO:HO,$A$59))</f>
        <v>265.79998799999998</v>
      </c>
      <c r="HP59">
        <f>IF(INDEX('Time series'!HP:HP,$A$59)=0,NA(),INDEX('Time series'!HP:HP,$A$59))</f>
        <v>284.5</v>
      </c>
      <c r="HQ59">
        <f>IF(INDEX('Time series'!HQ:HQ,$A$59)=0,NA(),INDEX('Time series'!HQ:HQ,$A$59))</f>
        <v>288</v>
      </c>
      <c r="HR59">
        <f>IF(INDEX('Time series'!HR:HR,$A$59)=0,NA(),INDEX('Time series'!HR:HR,$A$59))</f>
        <v>295.79998799999998</v>
      </c>
      <c r="HS59">
        <f>IF(INDEX('Time series'!HS:HS,$A$59)=0,NA(),INDEX('Time series'!HS:HS,$A$59))</f>
        <v>278.64999399999999</v>
      </c>
      <c r="HT59">
        <f>IF(INDEX('Time series'!HT:HT,$A$59)=0,NA(),INDEX('Time series'!HT:HT,$A$59))</f>
        <v>288.64999399999999</v>
      </c>
      <c r="HU59">
        <f>IF(INDEX('Time series'!HU:HU,$A$59)=0,NA(),INDEX('Time series'!HU:HU,$A$59))</f>
        <v>279.89999399999999</v>
      </c>
      <c r="HV59">
        <f>IF(INDEX('Time series'!HV:HV,$A$59)=0,NA(),INDEX('Time series'!HV:HV,$A$59))</f>
        <v>289.54998799999998</v>
      </c>
      <c r="HW59">
        <f>IF(INDEX('Time series'!HW:HW,$A$59)=0,NA(),INDEX('Time series'!HW:HW,$A$59))</f>
        <v>283.89999399999999</v>
      </c>
      <c r="HX59">
        <f>IF(INDEX('Time series'!HX:HX,$A$59)=0,NA(),INDEX('Time series'!HX:HX,$A$59))</f>
        <v>292.79998799999998</v>
      </c>
      <c r="HY59">
        <f>IF(INDEX('Time series'!HY:HY,$A$59)=0,NA(),INDEX('Time series'!HY:HY,$A$59))</f>
        <v>281.70001200000002</v>
      </c>
      <c r="HZ59">
        <f>IF(INDEX('Time series'!HZ:HZ,$A$59)=0,NA(),INDEX('Time series'!HZ:HZ,$A$59))</f>
        <v>271.64999399999999</v>
      </c>
      <c r="IA59">
        <f>IF(INDEX('Time series'!IA:IA,$A$59)=0,NA(),INDEX('Time series'!IA:IA,$A$59))</f>
        <v>260.29998799999998</v>
      </c>
      <c r="IB59">
        <f>IF(INDEX('Time series'!IB:IB,$A$59)=0,NA(),INDEX('Time series'!IB:IB,$A$59))</f>
        <v>260.29998799999998</v>
      </c>
      <c r="IC59">
        <f>IF(INDEX('Time series'!IC:IC,$A$59)=0,NA(),INDEX('Time series'!IC:IC,$A$59))</f>
        <v>283.29998799999998</v>
      </c>
      <c r="ID59">
        <f>IF(INDEX('Time series'!ID:ID,$A$59)=0,NA(),INDEX('Time series'!ID:ID,$A$59))</f>
        <v>280.10000600000001</v>
      </c>
      <c r="IE59">
        <f>IF(INDEX('Time series'!IE:IE,$A$59)=0,NA(),INDEX('Time series'!IE:IE,$A$59))</f>
        <v>266.04998799999998</v>
      </c>
      <c r="IF59">
        <f>IF(INDEX('Time series'!IF:IF,$A$59)=0,NA(),INDEX('Time series'!IF:IF,$A$59))</f>
        <v>257.20001200000002</v>
      </c>
      <c r="IG59">
        <f>IF(INDEX('Time series'!IG:IG,$A$59)=0,NA(),INDEX('Time series'!IG:IG,$A$59))</f>
        <v>248.449997</v>
      </c>
      <c r="IH59">
        <f>IF(INDEX('Time series'!IH:IH,$A$59)=0,NA(),INDEX('Time series'!IH:IH,$A$59))</f>
        <v>253.75</v>
      </c>
      <c r="II59" t="e">
        <f>IF(INDEX('Time series'!II:II,$A$59)=0,NA(),INDEX('Time series'!II:II,$A$59))</f>
        <v>#N/A</v>
      </c>
      <c r="IJ59" t="e">
        <f>IF(INDEX('Time series'!IJ:IJ,$A$59)=0,NA(),INDEX('Time series'!IJ:IJ,$A$59))</f>
        <v>#N/A</v>
      </c>
      <c r="IK59" t="e">
        <f>IF(INDEX('Time series'!IK:IK,$A$59)=0,NA(),INDEX('Time series'!IK:IK,$A$59))</f>
        <v>#N/A</v>
      </c>
      <c r="IL59" t="e">
        <f>IF(INDEX('Time series'!IL:IL,$A$59)=0,NA(),INDEX('Time series'!IL:IL,$A$59))</f>
        <v>#N/A</v>
      </c>
      <c r="IM59" t="e">
        <f>IF(INDEX('Time series'!IM:IM,$A$59)=0,NA(),INDEX('Time series'!IM:IM,$A$59))</f>
        <v>#N/A</v>
      </c>
      <c r="IN59" t="e">
        <f>IF(INDEX('Time series'!IN:IN,$A$59)=0,NA(),INDEX('Time series'!IN:IN,$A$59))</f>
        <v>#N/A</v>
      </c>
      <c r="IO59" t="e">
        <f>IF(INDEX('Time series'!IO:IO,$A$59)=0,NA(),INDEX('Time series'!IO:IO,$A$59))</f>
        <v>#N/A</v>
      </c>
      <c r="IP59" t="e">
        <f>IF(INDEX('Time series'!IP:IP,$A$59)=0,NA(),INDEX('Time series'!IP:IP,$A$59))</f>
        <v>#N/A</v>
      </c>
      <c r="IQ59" t="e">
        <f>IF(INDEX('Time series'!IQ:IQ,$A$59)=0,NA(),INDEX('Time series'!IQ:IQ,$A$59))</f>
        <v>#N/A</v>
      </c>
      <c r="IR59" t="e">
        <f>IF(INDEX('Time series'!IR:IR,$A$59)=0,NA(),INDEX('Time series'!IR:IR,$A$59))</f>
        <v>#N/A</v>
      </c>
      <c r="IS59" t="e">
        <f>IF(INDEX('Time series'!IS:IS,$A$59)=0,NA(),INDEX('Time series'!IS:IS,$A$59))</f>
        <v>#N/A</v>
      </c>
      <c r="IT59" t="e">
        <f>IF(INDEX('Time series'!IT:IT,$A$59)=0,NA(),INDEX('Time series'!IT:IT,$A$59))</f>
        <v>#N/A</v>
      </c>
      <c r="IU59" t="e">
        <f>IF(INDEX('Time series'!IU:IU,$A$59)=0,NA(),INDEX('Time series'!IU:IU,$A$59))</f>
        <v>#N/A</v>
      </c>
      <c r="IV59" t="e">
        <f>IF(INDEX('Time series'!IV:IV,$A$59)=0,NA(),INDEX('Time series'!IV:IV,$A$59))</f>
        <v>#N/A</v>
      </c>
      <c r="IW59" t="e">
        <f>IF(INDEX('Time series'!IW:IW,$A$59)=0,NA(),INDEX('Time series'!IW:IW,$A$59))</f>
        <v>#N/A</v>
      </c>
      <c r="IX59" t="e">
        <f>IF(INDEX('Time series'!IX:IX,$A$59)=0,NA(),INDEX('Time series'!IX:IX,$A$59))</f>
        <v>#N/A</v>
      </c>
      <c r="IY59" t="e">
        <f>IF(INDEX('Time series'!IY:IY,$A$59)=0,NA(),INDEX('Time series'!IY:IY,$A$59))</f>
        <v>#N/A</v>
      </c>
      <c r="IZ59" t="e">
        <f>IF(INDEX('Time series'!IZ:IZ,$A$59)=0,NA(),INDEX('Time series'!IZ:IZ,$A$59))</f>
        <v>#N/A</v>
      </c>
      <c r="JA59" t="e">
        <f>IF(INDEX('Time series'!JA:JA,$A$59)=0,NA(),INDEX('Time series'!JA:JA,$A$59))</f>
        <v>#N/A</v>
      </c>
      <c r="JB59" t="e">
        <f>IF(INDEX('Time series'!JB:JB,$A$59)=0,NA(),INDEX('Time series'!JB:JB,$A$59))</f>
        <v>#N/A</v>
      </c>
      <c r="JC59" t="e">
        <f>IF(INDEX('Time series'!JC:JC,$A$59)=0,NA(),INDEX('Time series'!JC:JC,$A$59))</f>
        <v>#N/A</v>
      </c>
      <c r="JD59" t="e">
        <f>IF(INDEX('Time series'!JD:JD,$A$59)=0,NA(),INDEX('Time series'!JD:JD,$A$59))</f>
        <v>#N/A</v>
      </c>
      <c r="JE59" t="e">
        <f>IF(INDEX('Time series'!JE:JE,$A$59)=0,NA(),INDEX('Time series'!JE:JE,$A$59))</f>
        <v>#N/A</v>
      </c>
      <c r="JF59" t="e">
        <f>IF(INDEX('Time series'!JF:JF,$A$59)=0,NA(),INDEX('Time series'!JF:JF,$A$59))</f>
        <v>#N/A</v>
      </c>
      <c r="JG59" t="e">
        <f>IF(INDEX('Time series'!JG:JG,$A$59)=0,NA(),INDEX('Time series'!JG:JG,$A$59))</f>
        <v>#N/A</v>
      </c>
      <c r="JH59" t="e">
        <f>IF(INDEX('Time series'!JH:JH,$A$59)=0,NA(),INDEX('Time series'!JH:JH,$A$59))</f>
        <v>#N/A</v>
      </c>
      <c r="JI59" t="e">
        <f>IF(INDEX('Time series'!JI:JI,$A$59)=0,NA(),INDEX('Time series'!JI:JI,$A$59))</f>
        <v>#N/A</v>
      </c>
    </row>
    <row r="61" spans="1:269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</sheetData>
  <sortState ref="A15:M55">
    <sortCondition descending="1" ref="L15:L55"/>
  </sortState>
  <conditionalFormatting sqref="F2:F55">
    <cfRule type="cellIs" dxfId="6" priority="7" operator="greaterThan">
      <formula>0</formula>
    </cfRule>
  </conditionalFormatting>
  <conditionalFormatting sqref="C2:C55">
    <cfRule type="cellIs" dxfId="5" priority="6" operator="greaterThan">
      <formula>1</formula>
    </cfRule>
    <cfRule type="cellIs" dxfId="4" priority="5" operator="lessThan">
      <formula>0</formula>
    </cfRule>
  </conditionalFormatting>
  <conditionalFormatting sqref="D2:D55">
    <cfRule type="cellIs" dxfId="3" priority="3" operator="lessThan">
      <formula>0</formula>
    </cfRule>
    <cfRule type="cellIs" dxfId="2" priority="4" operator="greaterThan">
      <formula>1</formula>
    </cfRule>
  </conditionalFormatting>
  <conditionalFormatting sqref="B2:B3 B6:B55">
    <cfRule type="cellIs" dxfId="1" priority="2" operator="equal">
      <formula>"Yahoo"</formula>
    </cfRule>
  </conditionalFormatting>
  <conditionalFormatting sqref="B4:B5">
    <cfRule type="cellIs" dxfId="0" priority="1" operator="equal">
      <formula>"Yahoo"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3"/>
  <dimension ref="A1:IR6"/>
  <sheetViews>
    <sheetView workbookViewId="0">
      <selection activeCell="I26" sqref="I26"/>
    </sheetView>
  </sheetViews>
  <sheetFormatPr defaultColWidth="9.15234375" defaultRowHeight="14.6"/>
  <cols>
    <col min="2" max="113" width="10.84375" bestFit="1" customWidth="1"/>
  </cols>
  <sheetData>
    <row r="1" spans="1:252">
      <c r="B1" s="6">
        <v>44186</v>
      </c>
      <c r="C1" s="6">
        <v>44187</v>
      </c>
      <c r="D1" s="6">
        <v>44188</v>
      </c>
      <c r="E1" s="6">
        <v>44193</v>
      </c>
      <c r="F1" s="6">
        <v>44194</v>
      </c>
      <c r="G1" s="6">
        <v>44200</v>
      </c>
      <c r="H1" s="6">
        <v>44201</v>
      </c>
      <c r="I1" s="6">
        <v>44202</v>
      </c>
      <c r="J1" s="6">
        <v>44203</v>
      </c>
      <c r="K1" s="6">
        <v>44204</v>
      </c>
      <c r="L1" s="6">
        <v>44207</v>
      </c>
      <c r="M1" s="6">
        <v>44208</v>
      </c>
      <c r="N1" s="6">
        <v>44209</v>
      </c>
      <c r="O1" s="6">
        <v>44210</v>
      </c>
      <c r="P1" s="6">
        <v>44211</v>
      </c>
      <c r="Q1" s="6">
        <v>44215</v>
      </c>
      <c r="R1" s="6">
        <v>44216</v>
      </c>
      <c r="S1" s="6">
        <v>44217</v>
      </c>
      <c r="T1" s="6">
        <v>44218</v>
      </c>
      <c r="U1" s="6">
        <v>44221</v>
      </c>
      <c r="V1" s="6">
        <v>44222</v>
      </c>
      <c r="W1" s="6">
        <v>44223</v>
      </c>
      <c r="X1" s="6">
        <v>44224</v>
      </c>
      <c r="Y1" s="6">
        <v>44225</v>
      </c>
      <c r="Z1" s="6">
        <v>44228</v>
      </c>
      <c r="AA1" s="6">
        <v>44229</v>
      </c>
      <c r="AB1" s="6">
        <v>44230</v>
      </c>
      <c r="AC1" s="6">
        <v>44231</v>
      </c>
      <c r="AD1" s="6">
        <v>44232</v>
      </c>
      <c r="AE1" s="6">
        <v>44235</v>
      </c>
      <c r="AF1" s="6">
        <v>44236</v>
      </c>
      <c r="AG1" s="6">
        <v>44237</v>
      </c>
      <c r="AH1" s="6">
        <v>44238</v>
      </c>
      <c r="AI1" s="6">
        <v>44239</v>
      </c>
      <c r="AJ1" s="6">
        <v>44243</v>
      </c>
      <c r="AK1" s="6">
        <v>44244</v>
      </c>
      <c r="AL1" s="6">
        <v>44245</v>
      </c>
      <c r="AM1" s="6">
        <v>44246</v>
      </c>
      <c r="AN1" s="6">
        <v>44249</v>
      </c>
      <c r="AO1" s="6">
        <v>44250</v>
      </c>
      <c r="AP1" s="6">
        <v>44251</v>
      </c>
      <c r="AQ1" s="6">
        <v>44252</v>
      </c>
      <c r="AR1" s="6">
        <v>44253</v>
      </c>
      <c r="AS1" s="6">
        <v>44256</v>
      </c>
      <c r="AT1" s="6">
        <v>44257</v>
      </c>
      <c r="AU1" s="6">
        <v>44258</v>
      </c>
      <c r="AV1" s="6">
        <v>44259</v>
      </c>
      <c r="AW1" s="6">
        <v>44260</v>
      </c>
      <c r="AX1" s="6">
        <v>44263</v>
      </c>
      <c r="AY1" s="6">
        <v>44264</v>
      </c>
      <c r="AZ1" s="6">
        <v>44265</v>
      </c>
      <c r="BA1" s="6">
        <v>44266</v>
      </c>
      <c r="BB1" s="6">
        <v>44267</v>
      </c>
      <c r="BC1" s="6">
        <v>44270</v>
      </c>
      <c r="BD1" s="6">
        <v>44271</v>
      </c>
      <c r="BE1" s="6">
        <v>44272</v>
      </c>
      <c r="BF1" s="6">
        <v>44273</v>
      </c>
      <c r="BG1" s="6">
        <v>44274</v>
      </c>
      <c r="BH1" s="6">
        <v>44277</v>
      </c>
      <c r="BI1" s="6">
        <v>44278</v>
      </c>
      <c r="BJ1" s="6">
        <v>44279</v>
      </c>
      <c r="BK1" s="6">
        <v>44280</v>
      </c>
      <c r="BL1" s="6">
        <v>44281</v>
      </c>
      <c r="BM1" s="6">
        <v>44284</v>
      </c>
      <c r="BN1" s="6">
        <v>44285</v>
      </c>
      <c r="BO1" s="6">
        <v>44286</v>
      </c>
      <c r="BP1" s="6">
        <v>44287</v>
      </c>
      <c r="BQ1" s="6">
        <v>44292</v>
      </c>
      <c r="BR1" s="6">
        <v>44293</v>
      </c>
      <c r="BS1" s="6">
        <v>44294</v>
      </c>
      <c r="BT1" s="6">
        <v>44295</v>
      </c>
      <c r="BU1" s="6">
        <v>44298</v>
      </c>
      <c r="BV1" s="6">
        <v>44299</v>
      </c>
      <c r="BW1" s="6">
        <v>44300</v>
      </c>
      <c r="BX1" s="6">
        <v>44301</v>
      </c>
      <c r="BY1" s="6">
        <v>44302</v>
      </c>
      <c r="BZ1" s="6">
        <v>44305</v>
      </c>
      <c r="CA1" s="6">
        <v>44306</v>
      </c>
      <c r="CB1" s="6">
        <v>44307</v>
      </c>
      <c r="CC1" s="6">
        <v>44308</v>
      </c>
      <c r="CD1" s="6">
        <v>44309</v>
      </c>
      <c r="CE1" s="6">
        <v>44312</v>
      </c>
      <c r="CF1" s="6">
        <v>44313</v>
      </c>
      <c r="CG1" s="6">
        <v>44314</v>
      </c>
      <c r="CH1" s="6">
        <v>44315</v>
      </c>
      <c r="CI1" s="6">
        <v>44316</v>
      </c>
      <c r="CJ1" s="6">
        <v>44319</v>
      </c>
      <c r="CK1" s="6">
        <v>44320</v>
      </c>
      <c r="CL1" s="6">
        <v>44321</v>
      </c>
      <c r="CM1" s="6">
        <v>44322</v>
      </c>
      <c r="CN1" s="6">
        <v>44323</v>
      </c>
      <c r="CO1" s="6">
        <v>44326</v>
      </c>
      <c r="CP1" s="6">
        <v>44327</v>
      </c>
      <c r="CQ1" s="6">
        <v>44328</v>
      </c>
      <c r="CR1" s="6">
        <v>44330</v>
      </c>
      <c r="CS1" s="6">
        <v>44333</v>
      </c>
      <c r="CT1" s="6">
        <v>44334</v>
      </c>
      <c r="CU1" s="6">
        <v>44335</v>
      </c>
      <c r="CV1" s="6">
        <v>44336</v>
      </c>
      <c r="CW1" s="6">
        <v>44337</v>
      </c>
      <c r="CX1" s="6">
        <v>44341</v>
      </c>
      <c r="CY1" s="6">
        <v>44342</v>
      </c>
      <c r="CZ1" s="6">
        <v>44343</v>
      </c>
      <c r="DA1" s="6">
        <v>44344</v>
      </c>
      <c r="DB1" s="6">
        <v>44348</v>
      </c>
      <c r="DC1" s="6">
        <v>44349</v>
      </c>
      <c r="DD1" s="6">
        <v>44350</v>
      </c>
      <c r="DE1" s="6">
        <v>44351</v>
      </c>
      <c r="DF1" s="6">
        <v>44354</v>
      </c>
      <c r="DG1" s="6">
        <v>44355</v>
      </c>
      <c r="DH1" s="6">
        <v>44356</v>
      </c>
      <c r="DI1" s="6">
        <v>44357</v>
      </c>
      <c r="DJ1" s="6">
        <v>44358</v>
      </c>
      <c r="DK1" s="6">
        <v>44361</v>
      </c>
      <c r="DL1" s="6">
        <v>44362</v>
      </c>
      <c r="DM1" s="6">
        <v>44363</v>
      </c>
      <c r="DN1" s="6">
        <v>44364</v>
      </c>
      <c r="DO1" s="6">
        <v>44365</v>
      </c>
      <c r="DP1" s="6">
        <v>44368</v>
      </c>
      <c r="DQ1" s="6">
        <v>44369</v>
      </c>
      <c r="DR1" s="6">
        <v>44371</v>
      </c>
      <c r="DS1" s="6">
        <v>44372</v>
      </c>
      <c r="DT1" s="6">
        <v>44375</v>
      </c>
      <c r="DU1" s="6">
        <v>44376</v>
      </c>
      <c r="DV1" s="6">
        <v>44377</v>
      </c>
      <c r="DW1" s="6">
        <v>44378</v>
      </c>
      <c r="DX1" s="6">
        <v>44379</v>
      </c>
      <c r="DY1" s="6">
        <v>44383</v>
      </c>
      <c r="DZ1" s="6">
        <v>44384</v>
      </c>
      <c r="EA1" s="6">
        <v>44385</v>
      </c>
      <c r="EB1" s="6">
        <v>44386</v>
      </c>
      <c r="EC1" s="6">
        <v>44389</v>
      </c>
      <c r="ED1" s="6">
        <v>44390</v>
      </c>
      <c r="EE1" s="6">
        <v>44391</v>
      </c>
      <c r="EF1" s="6">
        <v>44392</v>
      </c>
      <c r="EG1" s="6">
        <v>44393</v>
      </c>
      <c r="EH1" s="6">
        <v>44396</v>
      </c>
      <c r="EI1" s="6">
        <v>44397</v>
      </c>
      <c r="EJ1" s="6">
        <v>44398</v>
      </c>
      <c r="EK1" s="6">
        <v>44399</v>
      </c>
      <c r="EL1" s="6">
        <v>44400</v>
      </c>
      <c r="EM1" s="6">
        <v>44403</v>
      </c>
      <c r="EN1" s="6">
        <v>44404</v>
      </c>
      <c r="EO1" s="6">
        <v>44405</v>
      </c>
      <c r="EP1" s="6">
        <v>44406</v>
      </c>
      <c r="EQ1" s="6">
        <v>44407</v>
      </c>
      <c r="ER1" s="6">
        <v>44410</v>
      </c>
      <c r="ES1" s="6">
        <v>44411</v>
      </c>
      <c r="ET1" s="6">
        <v>44412</v>
      </c>
      <c r="EU1" s="6">
        <v>44413</v>
      </c>
      <c r="EV1" s="6">
        <v>44414</v>
      </c>
      <c r="EW1" s="6">
        <v>44417</v>
      </c>
      <c r="EX1" s="6">
        <v>44418</v>
      </c>
      <c r="EY1" s="6">
        <v>44419</v>
      </c>
      <c r="EZ1" s="6">
        <v>44420</v>
      </c>
      <c r="FA1" s="6">
        <v>44421</v>
      </c>
      <c r="FB1" s="6">
        <v>44424</v>
      </c>
      <c r="FC1" s="6">
        <v>44425</v>
      </c>
      <c r="FD1" s="6">
        <v>44426</v>
      </c>
      <c r="FE1" s="6">
        <v>44427</v>
      </c>
      <c r="FF1" s="6">
        <v>44428</v>
      </c>
      <c r="FG1" s="6">
        <v>44431</v>
      </c>
      <c r="FH1" s="6">
        <v>44432</v>
      </c>
      <c r="FI1" s="6">
        <v>44433</v>
      </c>
      <c r="FJ1" s="6">
        <v>44434</v>
      </c>
      <c r="FK1" s="6">
        <v>44435</v>
      </c>
      <c r="FL1" s="6">
        <v>44438</v>
      </c>
      <c r="FM1" s="6">
        <v>44439</v>
      </c>
      <c r="FN1" s="6">
        <v>44440</v>
      </c>
      <c r="FO1" s="6">
        <v>44441</v>
      </c>
      <c r="FP1" s="6">
        <v>44442</v>
      </c>
      <c r="FQ1" s="6">
        <v>44446</v>
      </c>
      <c r="FR1" s="6">
        <v>44447</v>
      </c>
      <c r="FS1" s="6">
        <v>44448</v>
      </c>
      <c r="FT1" s="6">
        <v>44449</v>
      </c>
      <c r="FU1" s="6">
        <v>44452</v>
      </c>
      <c r="FV1" s="6">
        <v>44453</v>
      </c>
      <c r="FW1" s="6">
        <v>44454</v>
      </c>
      <c r="FX1" s="6">
        <v>44455</v>
      </c>
      <c r="FY1" s="6">
        <v>44456</v>
      </c>
      <c r="FZ1" s="6">
        <v>44459</v>
      </c>
      <c r="GA1" s="6">
        <v>44460</v>
      </c>
      <c r="GB1" s="6">
        <v>44461</v>
      </c>
      <c r="GC1" s="6">
        <v>44462</v>
      </c>
      <c r="GD1" s="6">
        <v>44463</v>
      </c>
      <c r="GE1" s="6">
        <v>44466</v>
      </c>
      <c r="GF1" s="6">
        <v>44467</v>
      </c>
      <c r="GG1" s="6">
        <v>44468</v>
      </c>
      <c r="GH1" s="6">
        <v>44469</v>
      </c>
      <c r="GI1" s="6">
        <v>44470</v>
      </c>
      <c r="GJ1" s="6">
        <v>44473</v>
      </c>
      <c r="GK1" s="6">
        <v>44474</v>
      </c>
      <c r="GL1" s="6">
        <v>44475</v>
      </c>
      <c r="GM1" s="6">
        <v>44476</v>
      </c>
      <c r="GN1" s="6">
        <v>44477</v>
      </c>
      <c r="GO1" s="6">
        <v>44480</v>
      </c>
      <c r="GP1" s="6">
        <v>44481</v>
      </c>
      <c r="GQ1" s="6">
        <v>44482</v>
      </c>
      <c r="GR1" s="6">
        <v>44483</v>
      </c>
      <c r="GS1" s="6">
        <v>44484</v>
      </c>
      <c r="GT1" s="6">
        <v>44487</v>
      </c>
      <c r="GU1" s="6">
        <v>44488</v>
      </c>
      <c r="GV1" s="6">
        <v>44489</v>
      </c>
      <c r="GW1" s="6">
        <v>44490</v>
      </c>
      <c r="GX1" s="6">
        <v>44491</v>
      </c>
      <c r="GY1" s="6">
        <v>44494</v>
      </c>
      <c r="GZ1" s="6">
        <v>44495</v>
      </c>
      <c r="HA1" s="6">
        <v>44496</v>
      </c>
      <c r="HB1" s="6">
        <v>44497</v>
      </c>
      <c r="HC1" s="6">
        <v>44498</v>
      </c>
      <c r="HD1" s="6">
        <v>44502</v>
      </c>
      <c r="HE1" s="6">
        <v>44503</v>
      </c>
      <c r="HF1" s="6">
        <v>44504</v>
      </c>
      <c r="HG1" s="6">
        <v>44505</v>
      </c>
      <c r="HH1" s="6">
        <v>44508</v>
      </c>
      <c r="HI1" s="6">
        <v>44509</v>
      </c>
      <c r="HJ1" s="6">
        <v>44510</v>
      </c>
      <c r="HK1" s="6">
        <v>44511</v>
      </c>
      <c r="HL1" s="6">
        <v>44512</v>
      </c>
      <c r="HM1" s="6">
        <v>44515</v>
      </c>
      <c r="HN1" s="6">
        <v>44516</v>
      </c>
      <c r="HO1" s="6">
        <v>44517</v>
      </c>
      <c r="HP1" s="6">
        <v>44518</v>
      </c>
      <c r="HQ1" s="6">
        <v>44519</v>
      </c>
      <c r="HR1" s="6">
        <v>44522</v>
      </c>
      <c r="HS1" s="6">
        <v>44523</v>
      </c>
      <c r="HT1" s="6">
        <v>44524</v>
      </c>
      <c r="HU1" s="6">
        <v>44526</v>
      </c>
      <c r="HV1" s="6">
        <v>44529</v>
      </c>
      <c r="HW1" s="6">
        <v>44530</v>
      </c>
      <c r="HX1" s="6">
        <v>44531</v>
      </c>
      <c r="HY1" s="6">
        <v>44532</v>
      </c>
      <c r="HZ1" s="6">
        <v>44533</v>
      </c>
      <c r="IA1" s="6">
        <v>44536</v>
      </c>
      <c r="IB1" s="6">
        <v>44537</v>
      </c>
      <c r="IC1" s="6">
        <v>44538</v>
      </c>
      <c r="ID1" s="6">
        <v>44539</v>
      </c>
      <c r="IE1" s="6">
        <v>44540</v>
      </c>
      <c r="IF1" s="6">
        <v>44543</v>
      </c>
      <c r="IG1" s="6">
        <v>44544</v>
      </c>
      <c r="IH1" s="6">
        <v>44545</v>
      </c>
      <c r="II1" s="6"/>
      <c r="IJ1" s="6"/>
      <c r="IK1" s="6"/>
      <c r="IL1" s="6"/>
      <c r="IM1" s="6"/>
      <c r="IN1" s="6"/>
      <c r="IO1" s="6"/>
      <c r="IP1" s="6"/>
      <c r="IQ1" s="6"/>
      <c r="IR1" s="6"/>
    </row>
    <row r="2" spans="1:252">
      <c r="A2" t="s">
        <v>20</v>
      </c>
      <c r="B2" s="7">
        <v>107.474998</v>
      </c>
      <c r="C2" s="7">
        <v>108.324997</v>
      </c>
      <c r="D2" s="7">
        <v>107.599998</v>
      </c>
      <c r="E2" s="7">
        <v>105.637497</v>
      </c>
      <c r="F2" s="7">
        <v>105.675003</v>
      </c>
      <c r="G2" s="7">
        <v>108.375</v>
      </c>
      <c r="H2" s="7">
        <v>108.425003</v>
      </c>
      <c r="I2" s="7">
        <v>106.787498</v>
      </c>
      <c r="J2" s="7">
        <v>107.449997</v>
      </c>
      <c r="K2" s="7">
        <v>107.5625</v>
      </c>
      <c r="L2" s="7">
        <v>113.137497</v>
      </c>
      <c r="M2" s="7">
        <v>112.175003</v>
      </c>
      <c r="N2" s="7">
        <v>111.375</v>
      </c>
      <c r="O2" s="7">
        <v>110.087502</v>
      </c>
      <c r="P2" s="7">
        <v>107.775002</v>
      </c>
      <c r="Q2" s="7">
        <v>105.9375</v>
      </c>
      <c r="R2" s="7">
        <v>109.775002</v>
      </c>
      <c r="S2" s="7">
        <v>112.137497</v>
      </c>
      <c r="T2" s="7">
        <v>112.074997</v>
      </c>
      <c r="U2" s="7">
        <v>111.150002</v>
      </c>
      <c r="V2" s="7">
        <v>111.625</v>
      </c>
      <c r="W2" s="7">
        <v>107.3125</v>
      </c>
      <c r="X2" s="7">
        <v>108.362503</v>
      </c>
      <c r="Y2" s="7">
        <v>107.537498</v>
      </c>
      <c r="Z2" s="7">
        <v>107.775002</v>
      </c>
      <c r="AA2" s="7">
        <v>110.612503</v>
      </c>
      <c r="AB2" s="7">
        <v>112.612503</v>
      </c>
      <c r="AC2" s="7">
        <v>112.650002</v>
      </c>
      <c r="AD2" s="7">
        <v>113.025002</v>
      </c>
      <c r="AE2" s="7">
        <v>116.75</v>
      </c>
      <c r="AF2" s="7">
        <v>118.712502</v>
      </c>
      <c r="AG2" s="7">
        <v>120.5</v>
      </c>
      <c r="AH2" s="7">
        <v>125.550003</v>
      </c>
      <c r="AI2" s="7">
        <v>125.775002</v>
      </c>
      <c r="AJ2" s="7">
        <v>125.25</v>
      </c>
      <c r="AK2" s="7">
        <v>123.137497</v>
      </c>
      <c r="AL2" s="7">
        <v>121.800003</v>
      </c>
      <c r="AM2" s="7">
        <v>124.824997</v>
      </c>
      <c r="AN2" s="7">
        <v>121.737503</v>
      </c>
      <c r="AO2" s="7">
        <v>114.962502</v>
      </c>
      <c r="AP2" s="7">
        <v>116.012497</v>
      </c>
      <c r="AQ2" s="7">
        <v>112.974998</v>
      </c>
      <c r="AR2" s="7">
        <v>113.550003</v>
      </c>
      <c r="AS2" s="7">
        <v>114.012497</v>
      </c>
      <c r="AT2" s="7">
        <v>112.900002</v>
      </c>
      <c r="AU2" s="7">
        <v>108.4375</v>
      </c>
      <c r="AV2" s="7">
        <v>105.125</v>
      </c>
      <c r="AW2" s="7">
        <v>99.125</v>
      </c>
      <c r="AX2" s="7">
        <v>102.050003</v>
      </c>
      <c r="AY2" s="7">
        <v>104.287498</v>
      </c>
      <c r="AZ2" s="7">
        <v>106.625</v>
      </c>
      <c r="BA2" s="7">
        <v>108.387497</v>
      </c>
      <c r="BB2" s="7">
        <v>106.474998</v>
      </c>
      <c r="BC2" s="7">
        <v>109.125</v>
      </c>
      <c r="BD2" s="7">
        <v>111.9375</v>
      </c>
      <c r="BE2" s="7">
        <v>110.112503</v>
      </c>
      <c r="BF2" s="7">
        <v>109.724998</v>
      </c>
      <c r="BG2" s="7">
        <v>107.987503</v>
      </c>
      <c r="BH2" s="7">
        <v>111.775002</v>
      </c>
      <c r="BI2" s="7">
        <v>111.337502</v>
      </c>
      <c r="BJ2" s="7">
        <v>109.037498</v>
      </c>
      <c r="BK2" s="7">
        <v>106.4375</v>
      </c>
      <c r="BL2" s="7">
        <v>106.724998</v>
      </c>
      <c r="BM2" s="7">
        <v>108.487503</v>
      </c>
      <c r="BN2" s="7">
        <v>110.4375</v>
      </c>
      <c r="BO2" s="7">
        <v>113.137497</v>
      </c>
      <c r="BP2" s="7">
        <v>116.324997</v>
      </c>
      <c r="BQ2" s="7">
        <v>118.349998</v>
      </c>
      <c r="BR2" s="7">
        <v>117.525002</v>
      </c>
      <c r="BS2" s="7">
        <v>120.775002</v>
      </c>
      <c r="BT2" s="7">
        <v>120.349998</v>
      </c>
      <c r="BU2" s="7">
        <v>119.675003</v>
      </c>
      <c r="BV2" s="7">
        <v>130</v>
      </c>
      <c r="BW2" s="7">
        <v>129.550003</v>
      </c>
      <c r="BX2" s="7">
        <v>133.22500600000001</v>
      </c>
      <c r="BY2" s="7">
        <v>133.125</v>
      </c>
      <c r="BZ2" s="7">
        <v>128.449997</v>
      </c>
      <c r="CA2" s="7">
        <v>124.724998</v>
      </c>
      <c r="CB2" s="7">
        <v>126.949997</v>
      </c>
      <c r="CC2" s="7">
        <v>127.199997</v>
      </c>
      <c r="CD2" s="7">
        <v>125.775002</v>
      </c>
      <c r="CE2" s="7">
        <v>127.400002</v>
      </c>
      <c r="CF2" s="7">
        <v>127.525002</v>
      </c>
      <c r="CG2" s="7">
        <v>126.425003</v>
      </c>
      <c r="CH2" s="7">
        <v>125.775002</v>
      </c>
      <c r="CI2" s="7">
        <v>126.275002</v>
      </c>
      <c r="CJ2" s="7">
        <v>123.400002</v>
      </c>
      <c r="CK2" s="7">
        <v>117.125</v>
      </c>
      <c r="CL2" s="7">
        <v>122.699997</v>
      </c>
      <c r="CM2" s="7">
        <v>119.887497</v>
      </c>
      <c r="CN2" s="7">
        <v>122.412498</v>
      </c>
      <c r="CO2" s="7">
        <v>118.474998</v>
      </c>
      <c r="CP2" s="7">
        <v>116.75</v>
      </c>
      <c r="CQ2" s="7">
        <v>115.862503</v>
      </c>
      <c r="CR2" s="7">
        <v>116.0625</v>
      </c>
      <c r="CS2" s="7">
        <v>115.3125</v>
      </c>
      <c r="CT2" s="7">
        <v>116.362503</v>
      </c>
      <c r="CU2" s="7">
        <v>113.025002</v>
      </c>
      <c r="CV2" s="7">
        <v>119.387497</v>
      </c>
      <c r="CW2" s="7">
        <v>122.537498</v>
      </c>
      <c r="CX2" s="7">
        <v>126.849998</v>
      </c>
      <c r="CY2" s="7">
        <v>127.875</v>
      </c>
      <c r="CZ2" s="7">
        <v>128.14999399999999</v>
      </c>
      <c r="DA2" s="7">
        <v>132.199997</v>
      </c>
      <c r="DB2" s="7">
        <v>131.35000600000001</v>
      </c>
      <c r="DC2" s="7">
        <v>137.47500600000001</v>
      </c>
      <c r="DD2" s="7">
        <v>139.050003</v>
      </c>
      <c r="DE2" s="7">
        <v>144.39999399999999</v>
      </c>
      <c r="DF2" s="7">
        <v>142.125</v>
      </c>
      <c r="DG2" s="7">
        <v>142.324997</v>
      </c>
      <c r="DH2" s="7">
        <v>142.449997</v>
      </c>
      <c r="DI2" s="7">
        <v>142.925003</v>
      </c>
      <c r="DJ2">
        <v>146.300003</v>
      </c>
      <c r="DK2">
        <v>147.27499399999999</v>
      </c>
      <c r="DL2">
        <v>147.175003</v>
      </c>
      <c r="DM2">
        <v>147.25</v>
      </c>
      <c r="DN2">
        <v>156.97500600000001</v>
      </c>
      <c r="DO2">
        <v>160.925003</v>
      </c>
      <c r="DP2">
        <v>151</v>
      </c>
      <c r="DQ2">
        <v>157.824997</v>
      </c>
      <c r="DR2">
        <v>161.97500600000001</v>
      </c>
      <c r="DS2">
        <v>159.77499399999999</v>
      </c>
      <c r="DT2">
        <v>167.5</v>
      </c>
      <c r="DU2">
        <v>166.699997</v>
      </c>
      <c r="DV2">
        <v>167.85000600000001</v>
      </c>
      <c r="DW2">
        <v>169.5</v>
      </c>
      <c r="DX2">
        <v>172.22500600000001</v>
      </c>
      <c r="DY2">
        <v>175</v>
      </c>
      <c r="DZ2">
        <v>172.85000600000001</v>
      </c>
      <c r="EA2">
        <v>168.175003</v>
      </c>
      <c r="EB2">
        <v>168.300003</v>
      </c>
      <c r="EC2">
        <v>171.925003</v>
      </c>
      <c r="ED2">
        <v>172.14999399999999</v>
      </c>
      <c r="EE2">
        <v>168.550003</v>
      </c>
      <c r="EF2">
        <v>164.85000600000001</v>
      </c>
      <c r="EG2">
        <v>157.14999399999999</v>
      </c>
      <c r="EH2">
        <v>160.199997</v>
      </c>
      <c r="EI2">
        <v>157.08000200000001</v>
      </c>
      <c r="EJ2">
        <v>165.03999300000001</v>
      </c>
      <c r="EK2">
        <v>164.38000500000001</v>
      </c>
      <c r="EL2">
        <v>165.240005</v>
      </c>
      <c r="EM2">
        <v>163.520004</v>
      </c>
      <c r="EN2">
        <v>160.16000399999999</v>
      </c>
      <c r="EO2">
        <v>164.5</v>
      </c>
      <c r="EP2">
        <v>166.300003</v>
      </c>
      <c r="EQ2">
        <v>163.86000100000001</v>
      </c>
      <c r="ER2">
        <v>166.94000199999999</v>
      </c>
      <c r="ES2">
        <v>163.83999600000001</v>
      </c>
      <c r="ET2">
        <v>170.08000200000001</v>
      </c>
      <c r="EU2">
        <v>173.55999800000001</v>
      </c>
      <c r="EV2">
        <v>173.179993</v>
      </c>
      <c r="EW2">
        <v>173.179993</v>
      </c>
      <c r="EX2">
        <v>170.36000100000001</v>
      </c>
      <c r="EY2">
        <v>166.759995</v>
      </c>
      <c r="EZ2">
        <v>170.16000399999999</v>
      </c>
      <c r="FA2">
        <v>170.36000100000001</v>
      </c>
      <c r="FB2">
        <v>166.679993</v>
      </c>
      <c r="FC2">
        <v>166.61999499999999</v>
      </c>
      <c r="FD2">
        <v>165.479996</v>
      </c>
      <c r="FE2">
        <v>172.740005</v>
      </c>
      <c r="FF2">
        <v>174.740005</v>
      </c>
      <c r="FG2">
        <v>184.63999899999999</v>
      </c>
      <c r="FH2">
        <v>185.020004</v>
      </c>
      <c r="FI2">
        <v>190.44000199999999</v>
      </c>
      <c r="FJ2">
        <v>187.220001</v>
      </c>
      <c r="FK2">
        <v>190.61999499999999</v>
      </c>
      <c r="FL2">
        <v>192</v>
      </c>
      <c r="FM2">
        <v>189.89999399999999</v>
      </c>
      <c r="FN2">
        <v>190.11999499999999</v>
      </c>
      <c r="FO2">
        <v>190.39999399999999</v>
      </c>
      <c r="FP2">
        <v>192.479996</v>
      </c>
      <c r="FQ2">
        <v>192.13999899999999</v>
      </c>
      <c r="FR2">
        <v>187.39999399999999</v>
      </c>
      <c r="FS2">
        <v>188.91999799999999</v>
      </c>
      <c r="FT2">
        <v>189.259995</v>
      </c>
      <c r="FU2">
        <v>187.279999</v>
      </c>
      <c r="FV2">
        <v>188.779999</v>
      </c>
      <c r="FW2">
        <v>186.479996</v>
      </c>
      <c r="FX2">
        <v>187.08000200000001</v>
      </c>
      <c r="FY2">
        <v>187.46000699999999</v>
      </c>
      <c r="FZ2">
        <v>180</v>
      </c>
      <c r="GA2">
        <v>181.94000199999999</v>
      </c>
      <c r="GB2">
        <v>184.800003</v>
      </c>
      <c r="GC2">
        <v>189.740005</v>
      </c>
      <c r="GD2">
        <v>186.699997</v>
      </c>
      <c r="GE2">
        <v>184.46000699999999</v>
      </c>
      <c r="GF2">
        <v>178</v>
      </c>
      <c r="GG2">
        <v>177.05999800000001</v>
      </c>
      <c r="GH2">
        <v>179.979996</v>
      </c>
      <c r="GI2">
        <v>177.020004</v>
      </c>
      <c r="GJ2">
        <v>170.740005</v>
      </c>
      <c r="GK2">
        <v>176</v>
      </c>
      <c r="GL2">
        <v>177.44000199999999</v>
      </c>
      <c r="GM2">
        <v>183.38000500000001</v>
      </c>
      <c r="GN2">
        <v>181.300003</v>
      </c>
      <c r="GO2">
        <v>181.199997</v>
      </c>
      <c r="GP2">
        <v>179.61999499999999</v>
      </c>
      <c r="GQ2">
        <v>179.33999600000001</v>
      </c>
      <c r="GR2">
        <v>185.740005</v>
      </c>
      <c r="GS2">
        <v>188.33999600000001</v>
      </c>
      <c r="GT2">
        <v>190.699997</v>
      </c>
      <c r="GU2">
        <v>191.36000100000001</v>
      </c>
      <c r="GV2">
        <v>190.36000100000001</v>
      </c>
      <c r="GW2">
        <v>192.679993</v>
      </c>
      <c r="GX2">
        <v>195.58000200000001</v>
      </c>
      <c r="GY2">
        <v>198.179993</v>
      </c>
      <c r="GZ2">
        <v>213.550003</v>
      </c>
      <c r="HA2">
        <v>214.449997</v>
      </c>
      <c r="HB2">
        <v>211.14999399999999</v>
      </c>
      <c r="HC2">
        <v>219.800003</v>
      </c>
      <c r="HD2">
        <v>228.949997</v>
      </c>
      <c r="HE2">
        <v>228.25</v>
      </c>
      <c r="HF2">
        <v>254.5</v>
      </c>
      <c r="HG2">
        <v>264.10000600000001</v>
      </c>
      <c r="HH2">
        <v>266.60000600000001</v>
      </c>
      <c r="HI2">
        <v>271.89999399999999</v>
      </c>
      <c r="HJ2">
        <v>259.54998799999998</v>
      </c>
      <c r="HK2">
        <v>262.75</v>
      </c>
      <c r="HL2">
        <v>266.79998799999998</v>
      </c>
      <c r="HM2">
        <v>262.14999399999999</v>
      </c>
      <c r="HN2">
        <v>267.20001200000002</v>
      </c>
      <c r="HO2">
        <v>265.79998799999998</v>
      </c>
      <c r="HP2">
        <v>284.5</v>
      </c>
      <c r="HQ2">
        <v>288</v>
      </c>
      <c r="HR2">
        <v>295.79998799999998</v>
      </c>
      <c r="HS2">
        <v>278.64999399999999</v>
      </c>
      <c r="HT2">
        <v>288.64999399999999</v>
      </c>
      <c r="HU2">
        <v>279.89999399999999</v>
      </c>
      <c r="HV2">
        <v>289.54998799999998</v>
      </c>
      <c r="HW2">
        <v>283.89999399999999</v>
      </c>
      <c r="HX2">
        <v>292.79998799999998</v>
      </c>
      <c r="HY2">
        <v>281.70001200000002</v>
      </c>
      <c r="HZ2">
        <v>271.64999399999999</v>
      </c>
      <c r="IA2">
        <v>260.29998799999998</v>
      </c>
      <c r="IB2">
        <v>260.29998799999998</v>
      </c>
      <c r="IC2">
        <v>283.29998799999998</v>
      </c>
      <c r="ID2">
        <v>280.10000600000001</v>
      </c>
      <c r="IE2">
        <v>266.04998799999998</v>
      </c>
      <c r="IF2">
        <v>257.20001200000002</v>
      </c>
      <c r="IG2">
        <v>248.449997</v>
      </c>
      <c r="IH2">
        <v>253.75</v>
      </c>
    </row>
    <row r="3" spans="1:252">
      <c r="A3" t="s">
        <v>0</v>
      </c>
      <c r="B3" s="7">
        <v>472.26001000000002</v>
      </c>
      <c r="C3" s="7">
        <v>476.17999300000002</v>
      </c>
      <c r="D3" s="7">
        <v>474.61999500000002</v>
      </c>
      <c r="E3" s="7">
        <v>480.23998999999998</v>
      </c>
      <c r="F3" s="7">
        <v>484.01001000000002</v>
      </c>
      <c r="G3" s="7">
        <v>500</v>
      </c>
      <c r="H3" s="7">
        <v>505.35998499999999</v>
      </c>
      <c r="I3" s="7">
        <v>490.22000100000002</v>
      </c>
      <c r="J3" s="7">
        <v>501.42999300000002</v>
      </c>
      <c r="K3" s="7">
        <v>508.73998999999998</v>
      </c>
      <c r="L3" s="7">
        <v>507.95001200000002</v>
      </c>
      <c r="M3" s="7">
        <v>513.92999299999997</v>
      </c>
      <c r="N3" s="7">
        <v>514.05999799999995</v>
      </c>
      <c r="O3" s="7">
        <v>544.65002400000003</v>
      </c>
      <c r="P3" s="7">
        <v>527.5</v>
      </c>
      <c r="Q3" s="7">
        <v>549.5</v>
      </c>
      <c r="R3" s="7">
        <v>549.38000499999998</v>
      </c>
      <c r="S3" s="7">
        <v>570.73999000000003</v>
      </c>
      <c r="T3" s="7">
        <v>569.45001200000002</v>
      </c>
      <c r="U3" s="7">
        <v>567.60998500000005</v>
      </c>
      <c r="V3" s="7">
        <v>549</v>
      </c>
      <c r="W3" s="7">
        <v>524.63000499999998</v>
      </c>
      <c r="X3" s="7">
        <v>547.21997099999999</v>
      </c>
      <c r="Y3" s="7">
        <v>534.15997300000004</v>
      </c>
      <c r="Z3" s="7">
        <v>554.39001499999995</v>
      </c>
      <c r="AA3" s="7">
        <v>553.5</v>
      </c>
      <c r="AB3" s="7">
        <v>542.90997300000004</v>
      </c>
      <c r="AC3" s="7">
        <v>555.44000200000005</v>
      </c>
      <c r="AD3" s="7">
        <v>552.80999799999995</v>
      </c>
      <c r="AE3" s="7">
        <v>564</v>
      </c>
      <c r="AF3" s="7">
        <v>565.5</v>
      </c>
      <c r="AG3" s="7">
        <v>566.89001499999995</v>
      </c>
      <c r="AH3" s="7">
        <v>591.51000999999997</v>
      </c>
      <c r="AI3" s="7">
        <v>597.98999000000003</v>
      </c>
      <c r="AJ3" s="7">
        <v>603.14001499999995</v>
      </c>
      <c r="AK3" s="7">
        <v>587.580017</v>
      </c>
      <c r="AL3" s="7">
        <v>582.47997999999995</v>
      </c>
      <c r="AM3" s="7">
        <v>594.40002400000003</v>
      </c>
      <c r="AN3" s="7">
        <v>578.5</v>
      </c>
      <c r="AO3" s="7">
        <v>576.07000700000003</v>
      </c>
      <c r="AP3" s="7">
        <v>595.01000999999997</v>
      </c>
      <c r="AQ3" s="7">
        <v>559.77002000000005</v>
      </c>
      <c r="AR3" s="7">
        <v>567.09002699999996</v>
      </c>
      <c r="AS3" s="7">
        <v>583.54998799999998</v>
      </c>
      <c r="AT3" s="7">
        <v>563.14001499999995</v>
      </c>
      <c r="AU3" s="7">
        <v>543.59997599999997</v>
      </c>
      <c r="AV3" s="7">
        <v>510.5</v>
      </c>
      <c r="AW3" s="7">
        <v>527.03997800000002</v>
      </c>
      <c r="AX3" s="7">
        <v>502.19000199999999</v>
      </c>
      <c r="AY3" s="7">
        <v>539.52002000000005</v>
      </c>
      <c r="AZ3" s="7">
        <v>523.330017</v>
      </c>
      <c r="BA3" s="7">
        <v>544.40002400000003</v>
      </c>
      <c r="BB3" s="7">
        <v>537.63000499999998</v>
      </c>
      <c r="BC3" s="7">
        <v>547.19000200000005</v>
      </c>
      <c r="BD3" s="7">
        <v>549.38000499999998</v>
      </c>
      <c r="BE3" s="7">
        <v>559.57000700000003</v>
      </c>
      <c r="BF3" s="7">
        <v>539.19000200000005</v>
      </c>
      <c r="BG3" s="7">
        <v>547.419983</v>
      </c>
      <c r="BH3" s="7">
        <v>575.98999000000003</v>
      </c>
      <c r="BI3" s="7">
        <v>558.86999500000002</v>
      </c>
      <c r="BJ3" s="7">
        <v>578.580017</v>
      </c>
      <c r="BK3" s="7">
        <v>584</v>
      </c>
      <c r="BL3" s="7">
        <v>625.669983</v>
      </c>
      <c r="BM3" s="7">
        <v>608</v>
      </c>
      <c r="BN3" s="7">
        <v>601.28997800000002</v>
      </c>
      <c r="BO3" s="7">
        <v>617.35998500000005</v>
      </c>
      <c r="BP3" s="7">
        <v>637.09997599999997</v>
      </c>
      <c r="BQ3" s="7">
        <v>628</v>
      </c>
      <c r="BR3" s="7">
        <v>626.55999799999995</v>
      </c>
      <c r="BS3" s="7">
        <v>639.88000499999998</v>
      </c>
      <c r="BT3" s="7">
        <v>634.32000700000003</v>
      </c>
      <c r="BU3" s="7">
        <v>630.42999299999997</v>
      </c>
      <c r="BV3" s="7">
        <v>629.11999500000002</v>
      </c>
      <c r="BW3" s="7">
        <v>630.98999000000003</v>
      </c>
      <c r="BX3" s="7">
        <v>642.09002699999996</v>
      </c>
      <c r="BY3" s="7">
        <v>645.69000200000005</v>
      </c>
      <c r="BZ3" s="7">
        <v>630.10998500000005</v>
      </c>
      <c r="CA3" s="7">
        <v>616.94000200000005</v>
      </c>
      <c r="CB3" s="7">
        <v>655.48999000000003</v>
      </c>
      <c r="CC3" s="7">
        <v>647.09002699999996</v>
      </c>
      <c r="CD3" s="7">
        <v>670.90997300000004</v>
      </c>
      <c r="CE3" s="7">
        <v>670.44000200000005</v>
      </c>
      <c r="CF3" s="7">
        <v>672.80999799999995</v>
      </c>
      <c r="CG3" s="7">
        <v>665.34002699999996</v>
      </c>
      <c r="CH3" s="7">
        <v>662.47997999999995</v>
      </c>
      <c r="CI3" s="7">
        <v>648.09997599999997</v>
      </c>
      <c r="CJ3" s="7">
        <v>654.42999299999997</v>
      </c>
      <c r="CK3" s="7">
        <v>629</v>
      </c>
      <c r="CL3" s="7">
        <v>641.88000499999998</v>
      </c>
      <c r="CM3" s="7">
        <v>644.34002699999996</v>
      </c>
      <c r="CN3" s="7">
        <v>658.57000700000003</v>
      </c>
      <c r="CO3" s="7">
        <v>627.26000999999997</v>
      </c>
      <c r="CP3" s="7">
        <v>630.65997300000004</v>
      </c>
      <c r="CQ3" s="7">
        <v>601.88000499999998</v>
      </c>
      <c r="CR3" s="7">
        <v>647.76000999999997</v>
      </c>
      <c r="CS3" s="7">
        <v>635.34997599999997</v>
      </c>
      <c r="CT3" s="7">
        <v>632.19000200000005</v>
      </c>
      <c r="CU3" s="7">
        <v>630.78002900000001</v>
      </c>
      <c r="CV3" s="7">
        <v>648.77002000000005</v>
      </c>
      <c r="CW3" s="7">
        <v>639.21997099999999</v>
      </c>
      <c r="CX3" s="7">
        <v>672.28997800000002</v>
      </c>
      <c r="CY3" s="7">
        <v>665.77002000000005</v>
      </c>
      <c r="CZ3" s="7">
        <v>665.09002699999996</v>
      </c>
      <c r="DA3" s="7">
        <v>675.46997099999999</v>
      </c>
      <c r="DB3" s="7">
        <v>671.79998799999998</v>
      </c>
      <c r="DC3" s="7">
        <v>674.09002699999996</v>
      </c>
      <c r="DD3" s="7">
        <v>665.89001499999995</v>
      </c>
      <c r="DE3" s="7">
        <v>683.29998799999998</v>
      </c>
      <c r="DF3" s="7">
        <v>681.97997999999995</v>
      </c>
      <c r="DG3" s="7">
        <v>680.72997999999995</v>
      </c>
      <c r="DH3" s="7">
        <v>682.59002699999996</v>
      </c>
      <c r="DI3" s="7">
        <v>699.94000200000005</v>
      </c>
      <c r="DJ3">
        <v>697.03002900000001</v>
      </c>
      <c r="DK3">
        <v>709.330017</v>
      </c>
      <c r="DL3">
        <v>701.78002900000001</v>
      </c>
      <c r="DM3">
        <v>699.04998799999998</v>
      </c>
      <c r="DN3">
        <v>698.830017</v>
      </c>
      <c r="DO3">
        <v>671.07000700000003</v>
      </c>
      <c r="DP3">
        <v>680.65002400000003</v>
      </c>
      <c r="DQ3">
        <v>685.80999799999995</v>
      </c>
      <c r="DR3">
        <v>695</v>
      </c>
      <c r="DS3">
        <v>686.21002199999998</v>
      </c>
      <c r="DT3">
        <v>704.10998500000005</v>
      </c>
      <c r="DU3">
        <v>703.67999299999997</v>
      </c>
      <c r="DV3">
        <v>690.84002699999996</v>
      </c>
      <c r="DW3">
        <v>679.30999799999995</v>
      </c>
      <c r="DX3">
        <v>687.53997800000002</v>
      </c>
      <c r="DY3">
        <v>685.86999500000002</v>
      </c>
      <c r="DZ3">
        <v>690.17999299999997</v>
      </c>
      <c r="EA3">
        <v>673.69000200000005</v>
      </c>
      <c r="EB3">
        <v>691.35998500000005</v>
      </c>
      <c r="EC3">
        <v>707.80999799999995</v>
      </c>
      <c r="ED3">
        <v>706.419983</v>
      </c>
      <c r="EE3">
        <v>716.51000999999997</v>
      </c>
      <c r="EF3">
        <v>703.94000200000005</v>
      </c>
      <c r="EG3">
        <v>687.419983</v>
      </c>
      <c r="EH3">
        <v>684</v>
      </c>
      <c r="EI3">
        <v>684.04998799999998</v>
      </c>
      <c r="EJ3">
        <v>721</v>
      </c>
      <c r="EK3">
        <v>729.919983</v>
      </c>
      <c r="EL3">
        <v>748.14001499999995</v>
      </c>
      <c r="EM3">
        <v>754.09002699999996</v>
      </c>
      <c r="EN3">
        <v>745.59997599999997</v>
      </c>
      <c r="EO3">
        <v>759.85998500000005</v>
      </c>
      <c r="EP3">
        <v>765.71002199999998</v>
      </c>
      <c r="EQ3">
        <v>766.73999000000003</v>
      </c>
      <c r="ER3">
        <v>769.65002400000003</v>
      </c>
      <c r="ES3">
        <v>779.53002900000001</v>
      </c>
      <c r="ET3">
        <v>795.47997999999995</v>
      </c>
      <c r="EU3">
        <v>794.75</v>
      </c>
      <c r="EV3">
        <v>783.28002900000001</v>
      </c>
      <c r="EW3">
        <v>788.67999299999997</v>
      </c>
      <c r="EX3">
        <v>789.28997800000002</v>
      </c>
      <c r="EY3">
        <v>789.21997099999999</v>
      </c>
      <c r="EZ3">
        <v>781.07000700000003</v>
      </c>
      <c r="FA3">
        <v>788.96002199999998</v>
      </c>
      <c r="FB3">
        <v>787.34997599999997</v>
      </c>
      <c r="FC3">
        <v>776.55999799999995</v>
      </c>
      <c r="FD3">
        <v>772.45001200000002</v>
      </c>
      <c r="FE3">
        <v>781.51000999999997</v>
      </c>
      <c r="FF3">
        <v>788.17999299999997</v>
      </c>
      <c r="FG3">
        <v>811.61999500000002</v>
      </c>
      <c r="FH3">
        <v>805.60998500000005</v>
      </c>
      <c r="FI3">
        <v>807.86999500000002</v>
      </c>
      <c r="FJ3">
        <v>810.94000200000005</v>
      </c>
      <c r="FK3">
        <v>832.919983</v>
      </c>
      <c r="FL3">
        <v>839.59002699999996</v>
      </c>
      <c r="FM3">
        <v>833.03997800000002</v>
      </c>
      <c r="FN3">
        <v>842.169983</v>
      </c>
      <c r="FO3">
        <v>861.28002900000001</v>
      </c>
      <c r="FP3">
        <v>858.10998500000005</v>
      </c>
      <c r="FQ3">
        <v>861.77002000000005</v>
      </c>
      <c r="FR3">
        <v>857.98999000000003</v>
      </c>
      <c r="FS3">
        <v>853.5</v>
      </c>
      <c r="FT3">
        <v>858.86999500000002</v>
      </c>
      <c r="FU3">
        <v>871.23999000000003</v>
      </c>
      <c r="FV3">
        <v>888.07000700000003</v>
      </c>
      <c r="FW3">
        <v>889.330017</v>
      </c>
      <c r="FX3">
        <v>887.30999799999995</v>
      </c>
      <c r="FY3">
        <v>859.84997599999997</v>
      </c>
      <c r="FZ3">
        <v>840.73999000000003</v>
      </c>
      <c r="GA3">
        <v>854.72997999999995</v>
      </c>
      <c r="GB3">
        <v>864.73999000000003</v>
      </c>
      <c r="GC3">
        <v>879.78002900000001</v>
      </c>
      <c r="GD3">
        <v>868.82000700000003</v>
      </c>
      <c r="GE3">
        <v>835.30999799999995</v>
      </c>
      <c r="GF3">
        <v>780.169983</v>
      </c>
      <c r="GG3">
        <v>750.419983</v>
      </c>
      <c r="GH3">
        <v>745.10998500000005</v>
      </c>
      <c r="GI3">
        <v>741.80999799999995</v>
      </c>
      <c r="GJ3">
        <v>712.94000200000005</v>
      </c>
      <c r="GK3">
        <v>732.86999500000002</v>
      </c>
      <c r="GL3">
        <v>732.5</v>
      </c>
      <c r="GM3">
        <v>746.82000700000003</v>
      </c>
      <c r="GN3">
        <v>730.27002000000005</v>
      </c>
      <c r="GO3">
        <v>721.89001499999995</v>
      </c>
      <c r="GP3">
        <v>725.04998799999998</v>
      </c>
      <c r="GQ3">
        <v>744.419983</v>
      </c>
      <c r="GR3">
        <v>778.28997800000002</v>
      </c>
      <c r="GS3">
        <v>789.40002400000003</v>
      </c>
      <c r="GT3">
        <v>788.21997099999999</v>
      </c>
      <c r="GU3">
        <v>800.96002199999998</v>
      </c>
      <c r="GV3">
        <v>767.70001200000002</v>
      </c>
      <c r="GW3">
        <v>787.55999799999995</v>
      </c>
      <c r="GX3">
        <v>800.96997099999999</v>
      </c>
      <c r="GY3">
        <v>788.44000200000005</v>
      </c>
      <c r="GZ3">
        <v>791.22997999999995</v>
      </c>
      <c r="HA3">
        <v>801</v>
      </c>
      <c r="HB3">
        <v>813.19000200000005</v>
      </c>
      <c r="HC3">
        <v>812.88000499999998</v>
      </c>
      <c r="HD3">
        <v>812.02002000000005</v>
      </c>
      <c r="HE3">
        <v>830.02002000000005</v>
      </c>
      <c r="HF3">
        <v>850.48999000000003</v>
      </c>
      <c r="HG3">
        <v>847</v>
      </c>
      <c r="HH3">
        <v>849.92999299999997</v>
      </c>
      <c r="HI3">
        <v>850.04998799999998</v>
      </c>
      <c r="HJ3">
        <v>817.84997599999997</v>
      </c>
      <c r="HK3">
        <v>833.39001499999995</v>
      </c>
      <c r="HL3">
        <v>851.63000499999998</v>
      </c>
      <c r="HM3">
        <v>856.71997099999999</v>
      </c>
      <c r="HN3">
        <v>860.54998799999998</v>
      </c>
      <c r="HO3">
        <v>859.46002199999998</v>
      </c>
      <c r="HP3">
        <v>879.11999500000002</v>
      </c>
      <c r="HQ3">
        <v>857.169983</v>
      </c>
      <c r="HR3">
        <v>825.75</v>
      </c>
      <c r="HS3">
        <v>807.47997999999995</v>
      </c>
      <c r="HT3">
        <v>802.39001499999995</v>
      </c>
      <c r="HU3">
        <v>782.02002000000005</v>
      </c>
      <c r="HV3">
        <v>815.01000999999997</v>
      </c>
      <c r="HW3">
        <v>791.51000999999997</v>
      </c>
      <c r="HX3">
        <v>804</v>
      </c>
      <c r="HY3">
        <v>789.38000499999998</v>
      </c>
      <c r="HZ3">
        <v>771.52002000000005</v>
      </c>
      <c r="IA3">
        <v>756.39001499999995</v>
      </c>
      <c r="IB3">
        <v>806.01000999999997</v>
      </c>
      <c r="IC3">
        <v>803.919983</v>
      </c>
      <c r="ID3">
        <v>772.60998500000005</v>
      </c>
      <c r="IE3">
        <v>781.84002699999996</v>
      </c>
      <c r="IF3">
        <v>764.46997099999999</v>
      </c>
      <c r="IG3">
        <v>754.39001499999995</v>
      </c>
      <c r="IH3">
        <v>792.21997099999999</v>
      </c>
    </row>
    <row r="4" spans="1:252">
      <c r="A4" t="s">
        <v>2</v>
      </c>
      <c r="B4" s="7">
        <v>147.09</v>
      </c>
      <c r="C4" s="7">
        <v>147.91</v>
      </c>
      <c r="D4" s="7">
        <v>150.12</v>
      </c>
      <c r="E4" s="7">
        <v>149.97</v>
      </c>
      <c r="F4" s="7">
        <v>152.76</v>
      </c>
      <c r="G4" s="7">
        <v>159.30000000000001</v>
      </c>
      <c r="H4" s="7">
        <v>163.72</v>
      </c>
      <c r="I4" s="7">
        <v>165.18</v>
      </c>
      <c r="J4" s="7">
        <v>172.81</v>
      </c>
      <c r="K4" s="7">
        <v>172.82</v>
      </c>
      <c r="L4" s="7">
        <v>171.92</v>
      </c>
      <c r="M4" s="7">
        <v>173.55</v>
      </c>
      <c r="N4" s="7">
        <v>178.37</v>
      </c>
      <c r="O4" s="7">
        <v>182.07</v>
      </c>
      <c r="P4" s="7">
        <v>178.47</v>
      </c>
      <c r="Q4" s="7">
        <v>187.87</v>
      </c>
      <c r="R4" s="7">
        <v>194.53</v>
      </c>
      <c r="S4" s="7">
        <v>194.22</v>
      </c>
      <c r="T4" s="7">
        <v>192.62</v>
      </c>
      <c r="U4" s="7">
        <v>191.08</v>
      </c>
      <c r="V4" s="7">
        <v>192.29</v>
      </c>
      <c r="W4" s="7">
        <v>187.13</v>
      </c>
      <c r="X4" s="7">
        <v>186.93</v>
      </c>
      <c r="Y4" s="7">
        <v>181.02</v>
      </c>
      <c r="Z4" s="7">
        <v>186.37</v>
      </c>
      <c r="AA4" s="7">
        <v>184.48</v>
      </c>
      <c r="AB4" s="7">
        <v>188.57</v>
      </c>
      <c r="AC4" s="7">
        <v>187.12</v>
      </c>
      <c r="AD4" s="7">
        <v>188.5</v>
      </c>
      <c r="AE4" s="7">
        <v>195.19</v>
      </c>
      <c r="AF4" s="7">
        <v>196.21</v>
      </c>
      <c r="AG4" s="7">
        <v>198.76</v>
      </c>
      <c r="AH4" s="7">
        <v>202.75</v>
      </c>
      <c r="AI4" s="7">
        <v>203.23</v>
      </c>
      <c r="AJ4" s="7">
        <v>204.13</v>
      </c>
      <c r="AK4" s="7">
        <v>202.02</v>
      </c>
      <c r="AL4" s="7">
        <v>194.18</v>
      </c>
      <c r="AM4" s="7">
        <v>196.35</v>
      </c>
      <c r="AN4" s="7">
        <v>195.76</v>
      </c>
      <c r="AO4" s="7">
        <v>190.33</v>
      </c>
      <c r="AP4" s="7">
        <v>195.72</v>
      </c>
      <c r="AQ4" s="7">
        <v>190.13</v>
      </c>
      <c r="AR4" s="7">
        <v>185.15</v>
      </c>
      <c r="AS4" s="7">
        <v>189.47</v>
      </c>
      <c r="AT4" s="7">
        <v>192.28</v>
      </c>
      <c r="AU4" s="7">
        <v>189.64</v>
      </c>
      <c r="AV4" s="7">
        <v>181.52</v>
      </c>
      <c r="AW4" s="7">
        <v>181.63</v>
      </c>
      <c r="AX4" s="7">
        <v>178.81</v>
      </c>
      <c r="AY4" s="7">
        <v>186.97</v>
      </c>
      <c r="AZ4" s="7">
        <v>189.32</v>
      </c>
      <c r="BA4" s="7">
        <v>193.1</v>
      </c>
      <c r="BB4" s="7">
        <v>194.91</v>
      </c>
      <c r="BC4" s="7">
        <v>194.56</v>
      </c>
      <c r="BD4" s="7">
        <v>194.34</v>
      </c>
      <c r="BE4" s="7">
        <v>196.3</v>
      </c>
      <c r="BF4" s="7">
        <v>195.69</v>
      </c>
      <c r="BG4" s="7">
        <v>195.65</v>
      </c>
      <c r="BH4" s="7">
        <v>196.57</v>
      </c>
      <c r="BI4" s="7">
        <v>191.69</v>
      </c>
      <c r="BJ4" s="7">
        <v>187.58</v>
      </c>
      <c r="BK4" s="7">
        <v>187.18</v>
      </c>
      <c r="BL4" s="7">
        <v>192.4</v>
      </c>
      <c r="BM4" s="7">
        <v>189.06</v>
      </c>
      <c r="BN4" s="7">
        <v>188.29</v>
      </c>
      <c r="BO4" s="7">
        <v>194.22</v>
      </c>
      <c r="BP4" s="7">
        <v>199.36</v>
      </c>
      <c r="BQ4" s="7">
        <v>199.25</v>
      </c>
      <c r="BR4" s="7">
        <v>195.01</v>
      </c>
      <c r="BS4" s="7">
        <v>196.8</v>
      </c>
      <c r="BT4" s="7">
        <v>196.84</v>
      </c>
      <c r="BU4" s="7">
        <v>191.74</v>
      </c>
      <c r="BV4" s="7">
        <v>194.46</v>
      </c>
      <c r="BW4" s="7">
        <v>195.95</v>
      </c>
      <c r="BX4" s="7">
        <v>196.41</v>
      </c>
      <c r="BY4" s="7">
        <v>198.82</v>
      </c>
      <c r="BZ4" s="7">
        <v>195.8</v>
      </c>
      <c r="CA4" s="7">
        <v>193.16</v>
      </c>
      <c r="CB4" s="7">
        <v>195.57</v>
      </c>
      <c r="CC4" s="7">
        <v>193.39</v>
      </c>
      <c r="CD4" s="7">
        <v>196.64</v>
      </c>
      <c r="CE4" s="7">
        <v>198.89</v>
      </c>
      <c r="CF4" s="7">
        <v>201.02</v>
      </c>
      <c r="CG4" s="7">
        <v>203.35</v>
      </c>
      <c r="CH4" s="7">
        <v>201.28</v>
      </c>
      <c r="CI4" s="7">
        <v>202.26</v>
      </c>
      <c r="CJ4" s="7">
        <v>205.29</v>
      </c>
      <c r="CK4" s="7">
        <v>200.1</v>
      </c>
      <c r="CL4" s="7">
        <v>203.89</v>
      </c>
      <c r="CM4" s="7">
        <v>199.25</v>
      </c>
      <c r="CN4" s="7">
        <v>200.69</v>
      </c>
      <c r="CO4" s="7">
        <v>197.28</v>
      </c>
      <c r="CP4" s="7">
        <v>194.79</v>
      </c>
      <c r="CQ4" s="7">
        <v>189.23</v>
      </c>
      <c r="CR4" s="7">
        <v>190.57</v>
      </c>
      <c r="CS4" s="7">
        <v>193.5</v>
      </c>
      <c r="CT4" s="7">
        <v>195.47</v>
      </c>
      <c r="CU4" s="7">
        <v>190.09</v>
      </c>
      <c r="CV4" s="7">
        <v>192.55</v>
      </c>
      <c r="CW4" s="7">
        <v>192.61</v>
      </c>
      <c r="CX4" s="7">
        <v>190.21</v>
      </c>
      <c r="CY4" s="7">
        <v>190.41</v>
      </c>
      <c r="CZ4" s="7">
        <v>195.87</v>
      </c>
      <c r="DA4" s="7">
        <v>195.52</v>
      </c>
      <c r="DB4" s="7">
        <v>197.71</v>
      </c>
      <c r="DC4" s="7">
        <v>198.69</v>
      </c>
      <c r="DD4" s="7">
        <v>196.8</v>
      </c>
      <c r="DE4" s="7">
        <v>198.38</v>
      </c>
      <c r="DF4" s="7">
        <v>197.87</v>
      </c>
      <c r="DG4" s="7">
        <v>195.63</v>
      </c>
      <c r="DH4" s="7">
        <v>194.91</v>
      </c>
      <c r="DI4" s="7">
        <v>194.63</v>
      </c>
      <c r="DJ4">
        <v>196.47</v>
      </c>
      <c r="DK4">
        <v>196.34</v>
      </c>
      <c r="DL4">
        <v>194.58</v>
      </c>
      <c r="DM4">
        <v>193.8</v>
      </c>
      <c r="DN4">
        <v>191.9</v>
      </c>
      <c r="DO4">
        <v>191.99</v>
      </c>
      <c r="DP4">
        <v>188.38</v>
      </c>
      <c r="DQ4">
        <v>190.44</v>
      </c>
      <c r="DR4">
        <v>195.4</v>
      </c>
      <c r="DS4">
        <v>192.85</v>
      </c>
      <c r="DT4">
        <v>193.27</v>
      </c>
      <c r="DU4">
        <v>193.21</v>
      </c>
      <c r="DV4">
        <v>196.83</v>
      </c>
      <c r="DW4">
        <v>197.69</v>
      </c>
      <c r="DX4">
        <v>197.44</v>
      </c>
      <c r="DY4">
        <v>194.25</v>
      </c>
      <c r="DZ4">
        <v>194.21</v>
      </c>
      <c r="EA4">
        <v>192.93</v>
      </c>
      <c r="EB4">
        <v>196.28</v>
      </c>
      <c r="EC4">
        <v>201.9</v>
      </c>
      <c r="ED4">
        <v>201.2</v>
      </c>
      <c r="EE4">
        <v>199.99</v>
      </c>
      <c r="EF4">
        <v>200.98</v>
      </c>
      <c r="EG4">
        <v>195.09</v>
      </c>
      <c r="EH4">
        <v>187.44</v>
      </c>
      <c r="EI4">
        <v>192.81</v>
      </c>
      <c r="EJ4">
        <v>199.25</v>
      </c>
      <c r="EK4">
        <v>200.4</v>
      </c>
      <c r="EL4">
        <v>200.2</v>
      </c>
      <c r="EM4">
        <v>200.86</v>
      </c>
      <c r="EN4">
        <v>196.98</v>
      </c>
      <c r="EO4">
        <v>199.92</v>
      </c>
      <c r="EP4">
        <v>203.98</v>
      </c>
      <c r="EQ4">
        <v>204.57</v>
      </c>
      <c r="ER4">
        <v>205.69</v>
      </c>
      <c r="ES4">
        <v>206.66</v>
      </c>
      <c r="ET4">
        <v>206.29</v>
      </c>
      <c r="EU4">
        <v>208.64</v>
      </c>
      <c r="EV4">
        <v>211.12</v>
      </c>
      <c r="EW4">
        <v>212.8</v>
      </c>
      <c r="EX4">
        <v>218.31</v>
      </c>
      <c r="EY4">
        <v>218.52</v>
      </c>
      <c r="EZ4">
        <v>218.33</v>
      </c>
      <c r="FA4">
        <v>216.28</v>
      </c>
      <c r="FB4">
        <v>210.14</v>
      </c>
      <c r="FC4">
        <v>202.86</v>
      </c>
      <c r="FD4">
        <v>207.17</v>
      </c>
      <c r="FE4">
        <v>202.08</v>
      </c>
      <c r="FF4">
        <v>200.92</v>
      </c>
      <c r="FG4">
        <v>206.02</v>
      </c>
      <c r="FH4">
        <v>209.1</v>
      </c>
      <c r="FI4">
        <v>209.66</v>
      </c>
      <c r="FJ4">
        <v>206.24</v>
      </c>
      <c r="FK4">
        <v>207.12</v>
      </c>
      <c r="FL4">
        <v>209.08</v>
      </c>
      <c r="FM4">
        <v>209.7</v>
      </c>
      <c r="FN4">
        <v>216.46</v>
      </c>
      <c r="FO4">
        <v>221.13</v>
      </c>
      <c r="FP4">
        <v>223.16</v>
      </c>
      <c r="FQ4">
        <v>222.28</v>
      </c>
      <c r="FR4">
        <v>217.7</v>
      </c>
      <c r="FS4">
        <v>218.99</v>
      </c>
      <c r="FT4">
        <v>221.86</v>
      </c>
      <c r="FU4">
        <v>223.79</v>
      </c>
      <c r="FV4">
        <v>224.91</v>
      </c>
      <c r="FW4">
        <v>233.67</v>
      </c>
      <c r="FX4">
        <v>230.57</v>
      </c>
      <c r="FY4">
        <v>227.79</v>
      </c>
      <c r="FZ4">
        <v>214.4</v>
      </c>
      <c r="GA4">
        <v>218.78</v>
      </c>
      <c r="GB4">
        <v>221.42</v>
      </c>
      <c r="GC4">
        <v>224.14</v>
      </c>
      <c r="GD4">
        <v>220.2</v>
      </c>
      <c r="GE4">
        <v>222.74</v>
      </c>
      <c r="GF4">
        <v>221.28</v>
      </c>
      <c r="GG4">
        <v>215.68</v>
      </c>
      <c r="GH4">
        <v>219.02</v>
      </c>
      <c r="GI4">
        <v>219.94</v>
      </c>
      <c r="GJ4">
        <v>218.03</v>
      </c>
      <c r="GK4">
        <v>218.59</v>
      </c>
      <c r="GL4">
        <v>217.17</v>
      </c>
      <c r="GM4">
        <v>223.42</v>
      </c>
      <c r="GN4">
        <v>221.86</v>
      </c>
      <c r="GO4">
        <v>223.36</v>
      </c>
      <c r="GP4">
        <v>233.45</v>
      </c>
      <c r="GQ4">
        <v>240.17</v>
      </c>
      <c r="GR4">
        <v>242.88</v>
      </c>
      <c r="GS4">
        <v>246.62</v>
      </c>
      <c r="GT4">
        <v>247.37</v>
      </c>
      <c r="GU4">
        <v>250.54</v>
      </c>
      <c r="GV4">
        <v>254.57</v>
      </c>
      <c r="GW4">
        <v>251.78</v>
      </c>
      <c r="GX4">
        <v>251.84</v>
      </c>
      <c r="GY4">
        <v>255.44</v>
      </c>
      <c r="GZ4">
        <v>258.01</v>
      </c>
      <c r="HA4">
        <v>254.03</v>
      </c>
      <c r="HB4">
        <v>255.66</v>
      </c>
      <c r="HC4">
        <v>257.27</v>
      </c>
      <c r="HD4">
        <v>264.69</v>
      </c>
      <c r="HE4">
        <v>268.39999999999998</v>
      </c>
      <c r="HF4">
        <v>274.42</v>
      </c>
      <c r="HG4">
        <v>273.14999999999998</v>
      </c>
      <c r="HH4">
        <v>274.66000000000003</v>
      </c>
      <c r="HI4">
        <v>276.74</v>
      </c>
      <c r="HJ4">
        <v>272.89</v>
      </c>
      <c r="HK4">
        <v>278.25</v>
      </c>
      <c r="HL4">
        <v>282.67</v>
      </c>
      <c r="HM4">
        <v>282.52</v>
      </c>
      <c r="HN4">
        <v>279.39</v>
      </c>
      <c r="HO4">
        <v>278.7</v>
      </c>
      <c r="HP4">
        <v>275.33999999999997</v>
      </c>
      <c r="HQ4">
        <v>276.33</v>
      </c>
      <c r="HR4">
        <v>273.95</v>
      </c>
      <c r="HS4">
        <v>274.39</v>
      </c>
      <c r="HT4">
        <v>277.60000000000002</v>
      </c>
      <c r="HU4">
        <v>268.23</v>
      </c>
      <c r="HV4">
        <v>274.23</v>
      </c>
      <c r="HW4">
        <v>267.77999999999997</v>
      </c>
      <c r="HX4">
        <v>262.89</v>
      </c>
      <c r="HY4">
        <v>261.23</v>
      </c>
      <c r="HZ4">
        <v>256.32</v>
      </c>
      <c r="IA4">
        <v>249.79</v>
      </c>
      <c r="IB4">
        <v>259.60000000000002</v>
      </c>
      <c r="IC4">
        <v>261.07</v>
      </c>
      <c r="ID4">
        <v>255.73</v>
      </c>
      <c r="IE4">
        <v>255.72</v>
      </c>
      <c r="IF4">
        <v>251.68</v>
      </c>
      <c r="IG4">
        <v>245.68</v>
      </c>
      <c r="IH4">
        <v>247.24</v>
      </c>
    </row>
    <row r="5" spans="1:252">
      <c r="A5" t="s">
        <v>3</v>
      </c>
      <c r="B5" s="7">
        <v>224.07</v>
      </c>
      <c r="C5" s="7">
        <v>226.84</v>
      </c>
      <c r="D5" s="7">
        <v>234.16</v>
      </c>
      <c r="E5" s="7">
        <v>243.93</v>
      </c>
      <c r="F5" s="7">
        <v>247.11</v>
      </c>
      <c r="G5" s="7">
        <v>255.85</v>
      </c>
      <c r="H5" s="7">
        <v>261.52</v>
      </c>
      <c r="I5" s="7">
        <v>267.55</v>
      </c>
      <c r="J5" s="7">
        <v>276.08</v>
      </c>
      <c r="K5" s="7">
        <v>296.63</v>
      </c>
      <c r="L5" s="7">
        <v>303.31</v>
      </c>
      <c r="M5" s="7">
        <v>293.58999999999997</v>
      </c>
      <c r="N5" s="7">
        <v>300</v>
      </c>
      <c r="O5" s="7">
        <v>306.52999999999997</v>
      </c>
      <c r="P5" s="7">
        <v>307.12</v>
      </c>
      <c r="Q5" s="7">
        <v>300.82</v>
      </c>
      <c r="R5" s="7">
        <v>315.7</v>
      </c>
      <c r="S5" s="7">
        <v>314.36</v>
      </c>
      <c r="T5" s="7">
        <v>317.72000000000003</v>
      </c>
      <c r="U5" s="7">
        <v>316.97000000000003</v>
      </c>
      <c r="V5" s="7">
        <v>314.54000000000002</v>
      </c>
      <c r="W5" s="7">
        <v>321.11</v>
      </c>
      <c r="X5" s="7">
        <v>311.72000000000003</v>
      </c>
      <c r="Y5" s="7">
        <v>309.16000000000003</v>
      </c>
      <c r="Z5" s="7">
        <v>295.67</v>
      </c>
      <c r="AA5" s="7">
        <v>309.72000000000003</v>
      </c>
      <c r="AB5" s="7">
        <v>312.04000000000002</v>
      </c>
      <c r="AC5" s="7">
        <v>319.35000000000002</v>
      </c>
      <c r="AD5" s="7">
        <v>317.89999999999998</v>
      </c>
      <c r="AE5" s="7">
        <v>318.39999999999998</v>
      </c>
      <c r="AF5" s="7">
        <v>326.94</v>
      </c>
      <c r="AG5" s="7">
        <v>328.6</v>
      </c>
      <c r="AH5" s="7">
        <v>324.77</v>
      </c>
      <c r="AI5" s="7">
        <v>322.24</v>
      </c>
      <c r="AJ5" s="7">
        <v>325.02</v>
      </c>
      <c r="AK5" s="7">
        <v>326.12</v>
      </c>
      <c r="AL5" s="7">
        <v>319.52999999999997</v>
      </c>
      <c r="AM5" s="7">
        <v>303.85000000000002</v>
      </c>
      <c r="AN5" s="7">
        <v>308.5</v>
      </c>
      <c r="AO5" s="7">
        <v>302.88</v>
      </c>
      <c r="AP5" s="7">
        <v>290.14999999999998</v>
      </c>
      <c r="AQ5" s="7">
        <v>290.23</v>
      </c>
      <c r="AR5" s="7">
        <v>282.89</v>
      </c>
      <c r="AS5" s="7">
        <v>279.27</v>
      </c>
      <c r="AT5" s="7">
        <v>287.39999999999998</v>
      </c>
      <c r="AU5" s="7">
        <v>285.8</v>
      </c>
      <c r="AV5" s="7">
        <v>278.99</v>
      </c>
      <c r="AW5" s="7">
        <v>260.51</v>
      </c>
      <c r="AX5" s="7">
        <v>254.37</v>
      </c>
      <c r="AY5" s="7">
        <v>247.51</v>
      </c>
      <c r="AZ5" s="7">
        <v>260.70999999999998</v>
      </c>
      <c r="BA5" s="7">
        <v>264.68</v>
      </c>
      <c r="BB5" s="7">
        <v>274.41000000000003</v>
      </c>
      <c r="BC5" s="7">
        <v>278.13</v>
      </c>
      <c r="BD5" s="7">
        <v>278.56</v>
      </c>
      <c r="BE5" s="7">
        <v>279.14</v>
      </c>
      <c r="BF5" s="7">
        <v>275.68</v>
      </c>
      <c r="BG5" s="7">
        <v>274.11</v>
      </c>
      <c r="BH5" s="7">
        <v>273.20999999999998</v>
      </c>
      <c r="BI5" s="7">
        <v>276.26</v>
      </c>
      <c r="BJ5" s="7">
        <v>268.23</v>
      </c>
      <c r="BK5" s="7">
        <v>257.99</v>
      </c>
      <c r="BL5" s="7">
        <v>257.89</v>
      </c>
      <c r="BM5" s="7">
        <v>263.93</v>
      </c>
      <c r="BN5" s="7">
        <v>259.86</v>
      </c>
      <c r="BO5" s="7">
        <v>263.02</v>
      </c>
      <c r="BP5" s="7">
        <v>269.52999999999997</v>
      </c>
      <c r="BQ5" s="7">
        <v>272.66000000000003</v>
      </c>
      <c r="BR5" s="7">
        <v>276.01</v>
      </c>
      <c r="BS5" s="7">
        <v>273.27</v>
      </c>
      <c r="BT5" s="7">
        <v>272.01</v>
      </c>
      <c r="BU5" s="7">
        <v>270.44</v>
      </c>
      <c r="BV5" s="7">
        <v>264.52999999999997</v>
      </c>
      <c r="BW5" s="7">
        <v>263.52</v>
      </c>
      <c r="BX5" s="7">
        <v>268.06</v>
      </c>
      <c r="BY5" s="7">
        <v>266.99</v>
      </c>
      <c r="BZ5" s="7">
        <v>268.12</v>
      </c>
      <c r="CA5" s="7">
        <v>269.24</v>
      </c>
      <c r="CB5" s="7">
        <v>262.58999999999997</v>
      </c>
      <c r="CC5" s="7">
        <v>264.58999999999997</v>
      </c>
      <c r="CD5" s="7">
        <v>266.36</v>
      </c>
      <c r="CE5" s="7">
        <v>269.44</v>
      </c>
      <c r="CF5" s="7">
        <v>276.54000000000002</v>
      </c>
      <c r="CG5" s="7">
        <v>280.67</v>
      </c>
      <c r="CH5" s="7">
        <v>277.37</v>
      </c>
      <c r="CI5" s="7">
        <v>276.79000000000002</v>
      </c>
      <c r="CJ5" s="7">
        <v>272.26</v>
      </c>
      <c r="CK5" s="7">
        <v>268.16000000000003</v>
      </c>
      <c r="CL5" s="7">
        <v>259.8</v>
      </c>
      <c r="CM5" s="7">
        <v>261.07</v>
      </c>
      <c r="CN5" s="7">
        <v>254.46</v>
      </c>
      <c r="CO5" s="7">
        <v>257.64</v>
      </c>
      <c r="CP5" s="7">
        <v>256.16000000000003</v>
      </c>
      <c r="CQ5" s="7">
        <v>246.51</v>
      </c>
      <c r="CR5" s="7">
        <v>233.15</v>
      </c>
      <c r="CS5" s="7">
        <v>240.45</v>
      </c>
      <c r="CT5" s="7">
        <v>241.39</v>
      </c>
      <c r="CU5" s="7">
        <v>248.12</v>
      </c>
      <c r="CV5" s="7">
        <v>242.62</v>
      </c>
      <c r="CW5" s="7">
        <v>249.05</v>
      </c>
      <c r="CX5" s="7">
        <v>251.57</v>
      </c>
      <c r="CY5" s="7">
        <v>250.71</v>
      </c>
      <c r="CZ5" s="7">
        <v>251.46</v>
      </c>
      <c r="DA5" s="7">
        <v>260.35000000000002</v>
      </c>
      <c r="DB5" s="7">
        <v>264.11</v>
      </c>
      <c r="DC5" s="7">
        <v>267.35000000000002</v>
      </c>
      <c r="DD5" s="7">
        <v>271.41000000000003</v>
      </c>
      <c r="DE5" s="7">
        <v>270.52</v>
      </c>
      <c r="DF5" s="7">
        <v>271.37</v>
      </c>
      <c r="DG5" s="7">
        <v>273.38</v>
      </c>
      <c r="DH5" s="7">
        <v>270.52999999999997</v>
      </c>
      <c r="DI5" s="7">
        <v>271.2</v>
      </c>
      <c r="DJ5">
        <v>272.16000000000003</v>
      </c>
      <c r="DK5">
        <v>273.97000000000003</v>
      </c>
      <c r="DL5">
        <v>272.86</v>
      </c>
      <c r="DM5">
        <v>267.98</v>
      </c>
      <c r="DN5">
        <v>263.54000000000002</v>
      </c>
      <c r="DO5">
        <v>257.83</v>
      </c>
      <c r="DP5">
        <v>258.91000000000003</v>
      </c>
      <c r="DQ5">
        <v>256.58</v>
      </c>
      <c r="DR5">
        <v>265.16000000000003</v>
      </c>
      <c r="DS5">
        <v>265.45999999999998</v>
      </c>
      <c r="DT5">
        <v>267.86</v>
      </c>
      <c r="DU5">
        <v>268.19</v>
      </c>
      <c r="DV5">
        <v>270.42</v>
      </c>
      <c r="DW5">
        <v>273.2</v>
      </c>
      <c r="DX5">
        <v>273.27999999999997</v>
      </c>
      <c r="DY5">
        <v>278.12</v>
      </c>
      <c r="DZ5">
        <v>272.39</v>
      </c>
      <c r="EA5">
        <v>272.55</v>
      </c>
      <c r="EB5">
        <v>270.31</v>
      </c>
      <c r="EC5">
        <v>273.33999999999997</v>
      </c>
      <c r="ED5">
        <v>284.52</v>
      </c>
      <c r="EE5">
        <v>283.5</v>
      </c>
      <c r="EF5">
        <v>283.67</v>
      </c>
      <c r="EG5">
        <v>283.60000000000002</v>
      </c>
      <c r="EH5">
        <v>278.26</v>
      </c>
      <c r="EI5">
        <v>271.33999999999997</v>
      </c>
      <c r="EJ5">
        <v>271.06</v>
      </c>
      <c r="EK5">
        <v>279.98</v>
      </c>
      <c r="EL5">
        <v>285.69</v>
      </c>
      <c r="EM5">
        <v>283.02999999999997</v>
      </c>
      <c r="EN5">
        <v>284.32</v>
      </c>
      <c r="EO5">
        <v>281.86</v>
      </c>
      <c r="EP5">
        <v>284.47000000000003</v>
      </c>
      <c r="EQ5">
        <v>294.61</v>
      </c>
      <c r="ER5">
        <v>293.18</v>
      </c>
      <c r="ES5">
        <v>294.12</v>
      </c>
      <c r="ET5">
        <v>298.37</v>
      </c>
      <c r="EU5">
        <v>301.58</v>
      </c>
      <c r="EV5">
        <v>302.89</v>
      </c>
      <c r="EW5">
        <v>307.60000000000002</v>
      </c>
      <c r="EX5">
        <v>307.70999999999998</v>
      </c>
      <c r="EY5">
        <v>317.10000000000002</v>
      </c>
      <c r="EZ5">
        <v>315.13</v>
      </c>
      <c r="FA5">
        <v>323.64</v>
      </c>
      <c r="FB5">
        <v>321.85000000000002</v>
      </c>
      <c r="FC5">
        <v>312.07</v>
      </c>
      <c r="FD5">
        <v>297.99</v>
      </c>
      <c r="FE5">
        <v>301.06</v>
      </c>
      <c r="FF5">
        <v>293.97000000000003</v>
      </c>
      <c r="FG5">
        <v>291.91000000000003</v>
      </c>
      <c r="FH5">
        <v>300.89999999999998</v>
      </c>
      <c r="FI5">
        <v>303.73</v>
      </c>
      <c r="FJ5">
        <v>307.45</v>
      </c>
      <c r="FK5">
        <v>299.48</v>
      </c>
      <c r="FL5">
        <v>300.73</v>
      </c>
      <c r="FM5">
        <v>306.31</v>
      </c>
      <c r="FN5">
        <v>310.70999999999998</v>
      </c>
      <c r="FO5">
        <v>310.89</v>
      </c>
      <c r="FP5">
        <v>313.77999999999997</v>
      </c>
      <c r="FQ5">
        <v>318.45999999999998</v>
      </c>
      <c r="FR5">
        <v>320.58999999999997</v>
      </c>
      <c r="FS5">
        <v>312.56</v>
      </c>
      <c r="FT5">
        <v>314.95</v>
      </c>
      <c r="FU5">
        <v>321.87</v>
      </c>
      <c r="FV5">
        <v>321.33</v>
      </c>
      <c r="FW5">
        <v>327.32</v>
      </c>
      <c r="FX5">
        <v>335.04</v>
      </c>
      <c r="FY5">
        <v>329</v>
      </c>
      <c r="FZ5">
        <v>324.39999999999998</v>
      </c>
      <c r="GA5">
        <v>309.35000000000002</v>
      </c>
      <c r="GB5">
        <v>309.56</v>
      </c>
      <c r="GC5">
        <v>315.61</v>
      </c>
      <c r="GD5">
        <v>320.95</v>
      </c>
      <c r="GE5">
        <v>320.45999999999998</v>
      </c>
      <c r="GF5">
        <v>323.19</v>
      </c>
      <c r="GG5">
        <v>316.98</v>
      </c>
      <c r="GH5">
        <v>312.43</v>
      </c>
      <c r="GI5">
        <v>316.94</v>
      </c>
      <c r="GJ5">
        <v>316.39999999999998</v>
      </c>
      <c r="GK5">
        <v>313.99</v>
      </c>
      <c r="GL5">
        <v>314.2</v>
      </c>
      <c r="GM5">
        <v>306.79000000000002</v>
      </c>
      <c r="GN5">
        <v>316.56</v>
      </c>
      <c r="GO5">
        <v>317.95</v>
      </c>
      <c r="GP5">
        <v>321.73</v>
      </c>
      <c r="GQ5">
        <v>330.17</v>
      </c>
      <c r="GR5">
        <v>339.78</v>
      </c>
      <c r="GS5">
        <v>345.28</v>
      </c>
      <c r="GT5">
        <v>347.12</v>
      </c>
      <c r="GU5">
        <v>351.7</v>
      </c>
      <c r="GV5">
        <v>359.28</v>
      </c>
      <c r="GW5">
        <v>356.98</v>
      </c>
      <c r="GX5">
        <v>350.89</v>
      </c>
      <c r="GY5">
        <v>350.34</v>
      </c>
      <c r="GZ5">
        <v>355.57</v>
      </c>
      <c r="HA5">
        <v>360.26</v>
      </c>
      <c r="HB5">
        <v>356.6</v>
      </c>
      <c r="HC5">
        <v>357.94</v>
      </c>
      <c r="HD5">
        <v>365.02</v>
      </c>
      <c r="HE5">
        <v>363.86</v>
      </c>
      <c r="HF5">
        <v>365.49</v>
      </c>
      <c r="HG5">
        <v>372.86</v>
      </c>
      <c r="HH5">
        <v>375.01</v>
      </c>
      <c r="HI5">
        <v>379.99</v>
      </c>
      <c r="HJ5">
        <v>381.98</v>
      </c>
      <c r="HK5">
        <v>370.32</v>
      </c>
      <c r="HL5">
        <v>372.16</v>
      </c>
      <c r="HM5">
        <v>376.69</v>
      </c>
      <c r="HN5">
        <v>375.78</v>
      </c>
      <c r="HO5">
        <v>372.36</v>
      </c>
      <c r="HP5">
        <v>372.86</v>
      </c>
      <c r="HQ5">
        <v>372.03</v>
      </c>
      <c r="HR5">
        <v>374.45</v>
      </c>
      <c r="HS5">
        <v>373.47</v>
      </c>
      <c r="HT5">
        <v>366.42</v>
      </c>
      <c r="HU5">
        <v>368.65</v>
      </c>
      <c r="HV5">
        <v>360.42</v>
      </c>
      <c r="HW5">
        <v>364.19</v>
      </c>
      <c r="HX5">
        <v>363.87</v>
      </c>
      <c r="HY5">
        <v>357.81</v>
      </c>
      <c r="HZ5">
        <v>351.93</v>
      </c>
      <c r="IA5">
        <v>345.42</v>
      </c>
      <c r="IB5">
        <v>338.25</v>
      </c>
      <c r="IC5">
        <v>346.64</v>
      </c>
      <c r="ID5">
        <v>357.89</v>
      </c>
      <c r="IE5">
        <v>354.39</v>
      </c>
      <c r="IF5">
        <v>351.82</v>
      </c>
      <c r="IG5">
        <v>350.61</v>
      </c>
      <c r="IH5">
        <v>346.96</v>
      </c>
    </row>
    <row r="6" spans="1:252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4"/>
  <dimension ref="A2:IG6"/>
  <sheetViews>
    <sheetView workbookViewId="0">
      <selection activeCell="O29" sqref="O29"/>
    </sheetView>
  </sheetViews>
  <sheetFormatPr defaultColWidth="9.15234375" defaultRowHeight="14.6"/>
  <cols>
    <col min="2" max="220" width="8.84375" style="1"/>
  </cols>
  <sheetData>
    <row r="2" spans="1:241">
      <c r="A2" t="s">
        <v>20</v>
      </c>
      <c r="B2" s="1">
        <v>7.9088068464071692E-3</v>
      </c>
      <c r="C2" s="1">
        <v>-6.6928134786839351E-3</v>
      </c>
      <c r="D2" s="1">
        <v>-1.8238857216335665E-2</v>
      </c>
      <c r="E2" s="1">
        <v>3.5504438352990878E-4</v>
      </c>
      <c r="F2" s="1">
        <v>2.5550006371894744E-2</v>
      </c>
      <c r="G2" s="1">
        <v>4.6138869665516766E-4</v>
      </c>
      <c r="H2" s="1">
        <v>-1.5102651184616563E-2</v>
      </c>
      <c r="I2" s="1">
        <v>6.2039003854177464E-3</v>
      </c>
      <c r="J2" s="1">
        <v>1.0470265531976124E-3</v>
      </c>
      <c r="K2" s="1">
        <v>5.1830303312027856E-2</v>
      </c>
      <c r="L2" s="1">
        <v>-8.5072944472157838E-3</v>
      </c>
      <c r="M2" s="1">
        <v>-7.1317403931783607E-3</v>
      </c>
      <c r="N2" s="1">
        <v>-1.1560026936026931E-2</v>
      </c>
      <c r="O2" s="1">
        <v>-2.1006017558650752E-2</v>
      </c>
      <c r="P2" s="1">
        <v>-1.704942673069958E-2</v>
      </c>
      <c r="Q2" s="1">
        <v>3.6224207669616523E-2</v>
      </c>
      <c r="R2" s="1">
        <v>2.1521247615190163E-2</v>
      </c>
      <c r="S2" s="1">
        <v>-5.5735148074510712E-4</v>
      </c>
      <c r="T2" s="1">
        <v>-8.2533573478480275E-3</v>
      </c>
      <c r="U2" s="1">
        <v>4.2734862029062256E-3</v>
      </c>
      <c r="V2" s="1">
        <v>-3.8633818589025759E-2</v>
      </c>
      <c r="W2" s="1">
        <v>9.784535818287747E-3</v>
      </c>
      <c r="X2" s="1">
        <v>-7.6133808020289488E-3</v>
      </c>
      <c r="Y2" s="1">
        <v>2.2085691448763415E-3</v>
      </c>
      <c r="Z2" s="1">
        <v>2.6328006934298206E-2</v>
      </c>
      <c r="AA2" s="1">
        <v>1.8081138621372665E-2</v>
      </c>
      <c r="AB2" s="1">
        <v>3.3299144412052398E-4</v>
      </c>
      <c r="AC2" s="1">
        <v>3.3288947478225524E-3</v>
      </c>
      <c r="AD2" s="1">
        <v>3.295729205118704E-2</v>
      </c>
      <c r="AE2" s="1">
        <v>1.6809438972162746E-2</v>
      </c>
      <c r="AF2" s="1">
        <v>1.5057369442015462E-2</v>
      </c>
      <c r="AG2" s="1">
        <v>4.1908738589211653E-2</v>
      </c>
      <c r="AH2" s="1">
        <v>1.7921066875641321E-3</v>
      </c>
      <c r="AI2" s="1">
        <v>-4.1741362882268184E-3</v>
      </c>
      <c r="AJ2" s="1">
        <v>-1.68662914171657E-2</v>
      </c>
      <c r="AK2" s="1">
        <v>-1.0861792976025755E-2</v>
      </c>
      <c r="AL2" s="1">
        <v>2.4835746514718825E-2</v>
      </c>
      <c r="AM2" s="1">
        <v>-2.4734581007039739E-2</v>
      </c>
      <c r="AN2" s="1">
        <v>-5.5652537903623692E-2</v>
      </c>
      <c r="AO2" s="1">
        <v>9.1333694181429306E-3</v>
      </c>
      <c r="AP2" s="1">
        <v>-2.6182515492274915E-2</v>
      </c>
      <c r="AQ2" s="1">
        <v>5.0896659453802725E-3</v>
      </c>
      <c r="AR2" s="1">
        <v>4.0730426048512956E-3</v>
      </c>
      <c r="AS2" s="1">
        <v>-9.7576584082707668E-3</v>
      </c>
      <c r="AT2" s="1">
        <v>-3.9526146332574917E-2</v>
      </c>
      <c r="AU2" s="1">
        <v>-3.0547550432276659E-2</v>
      </c>
      <c r="AV2" s="1">
        <v>-5.7074910820451845E-2</v>
      </c>
      <c r="AW2" s="1">
        <v>2.9508226986128663E-2</v>
      </c>
      <c r="AX2" s="1">
        <v>2.1925477062455311E-2</v>
      </c>
      <c r="AY2" s="1">
        <v>2.2414019367882433E-2</v>
      </c>
      <c r="AZ2" s="1">
        <v>1.6529866354044513E-2</v>
      </c>
      <c r="BA2" s="1">
        <v>-1.7645014904255948E-2</v>
      </c>
      <c r="BB2" s="1">
        <v>2.4888490723427865E-2</v>
      </c>
      <c r="BC2" s="1">
        <v>2.5773195876288658E-2</v>
      </c>
      <c r="BD2" s="1">
        <v>-1.6303714126186454E-2</v>
      </c>
      <c r="BE2" s="1">
        <v>-3.5191734766033284E-3</v>
      </c>
      <c r="BF2" s="1">
        <v>-1.5834996870995575E-2</v>
      </c>
      <c r="BG2" s="1">
        <v>3.5073493643056057E-2</v>
      </c>
      <c r="BH2" s="1">
        <v>-3.9141131037510515E-3</v>
      </c>
      <c r="BI2" s="1">
        <v>-2.0657945065086884E-2</v>
      </c>
      <c r="BJ2" s="1">
        <v>-2.384498954662367E-2</v>
      </c>
      <c r="BK2" s="1">
        <v>2.7010968878449734E-3</v>
      </c>
      <c r="BL2" s="1">
        <v>1.6514453342974102E-2</v>
      </c>
      <c r="BM2" s="1">
        <v>1.7974392866245581E-2</v>
      </c>
      <c r="BN2" s="1">
        <v>2.4448190152801325E-2</v>
      </c>
      <c r="BO2" s="1">
        <v>2.8173683213090706E-2</v>
      </c>
      <c r="BP2" s="1">
        <v>1.7408132836659373E-2</v>
      </c>
      <c r="BQ2" s="1">
        <v>-6.9708154959157564E-3</v>
      </c>
      <c r="BR2" s="1">
        <v>2.7653690233504526E-2</v>
      </c>
      <c r="BS2" s="1">
        <v>-3.5189732391807476E-3</v>
      </c>
      <c r="BT2" s="1">
        <v>-5.6086000101137979E-3</v>
      </c>
      <c r="BU2" s="1">
        <v>8.6275301785453021E-2</v>
      </c>
      <c r="BV2" s="1">
        <v>-3.4615153846153553E-3</v>
      </c>
      <c r="BW2" s="1">
        <v>2.8367448204536155E-2</v>
      </c>
      <c r="BX2" s="1">
        <v>-7.5065487330514805E-4</v>
      </c>
      <c r="BY2" s="1">
        <v>-3.5117393427230074E-2</v>
      </c>
      <c r="BZ2" s="1">
        <v>-2.8999603635646617E-2</v>
      </c>
      <c r="CA2" s="1">
        <v>1.7839238610370609E-2</v>
      </c>
      <c r="CB2" s="1">
        <v>1.9692792903335003E-3</v>
      </c>
      <c r="CC2" s="1">
        <v>-1.1202791144719882E-2</v>
      </c>
      <c r="CD2" s="1">
        <v>1.2919896435382286E-2</v>
      </c>
      <c r="CE2" s="1">
        <v>9.811616800445577E-4</v>
      </c>
      <c r="CF2" s="1">
        <v>-8.6257516780905187E-3</v>
      </c>
      <c r="CG2" s="1">
        <v>-5.141395962632511E-3</v>
      </c>
      <c r="CH2" s="1">
        <v>3.9753527493483955E-3</v>
      </c>
      <c r="CI2" s="1">
        <v>-2.2767768398055541E-2</v>
      </c>
      <c r="CJ2" s="1">
        <v>-5.0850906793340249E-2</v>
      </c>
      <c r="CK2" s="1">
        <v>4.7598693703308402E-2</v>
      </c>
      <c r="CL2" s="1">
        <v>-2.2921760951632297E-2</v>
      </c>
      <c r="CM2" s="1">
        <v>2.1061420608355877E-2</v>
      </c>
      <c r="CN2" s="1">
        <v>-3.2165833263201604E-2</v>
      </c>
      <c r="CO2" s="1">
        <v>-1.45600171269891E-2</v>
      </c>
      <c r="CP2" s="1">
        <v>-7.601687366166991E-3</v>
      </c>
      <c r="CQ2" s="1">
        <v>1.72615811691895E-3</v>
      </c>
      <c r="CR2" s="1">
        <v>-6.462035541195477E-3</v>
      </c>
      <c r="CS2" s="1">
        <v>9.1057170731707639E-3</v>
      </c>
      <c r="CT2" s="1">
        <v>-2.8681928576252808E-2</v>
      </c>
      <c r="CU2" s="1">
        <v>5.6292810328815529E-2</v>
      </c>
      <c r="CV2" s="1">
        <v>2.6384680801206539E-2</v>
      </c>
      <c r="CW2" s="1">
        <v>3.5193308745376864E-2</v>
      </c>
      <c r="CX2" s="1">
        <v>8.0804258270465289E-3</v>
      </c>
      <c r="CY2" s="1">
        <v>2.1504907135874284E-3</v>
      </c>
      <c r="CZ2" s="1">
        <v>3.1603614433255489E-2</v>
      </c>
      <c r="DA2" s="1">
        <v>-6.4295841095971329E-3</v>
      </c>
      <c r="DB2" s="1">
        <v>4.6631136050347799E-2</v>
      </c>
      <c r="DC2" s="1">
        <v>1.1456606155740019E-2</v>
      </c>
      <c r="DD2" s="1">
        <v>3.8475303017433148E-2</v>
      </c>
      <c r="DE2" s="1">
        <v>-1.5754806748814632E-2</v>
      </c>
      <c r="DF2" s="1">
        <v>1.4071908531222248E-3</v>
      </c>
      <c r="DG2" s="1">
        <v>8.7827158007949932E-4</v>
      </c>
      <c r="DH2" s="1">
        <v>3.3345455247711067E-3</v>
      </c>
      <c r="DI2" s="1">
        <v>2.3613782957205884E-2</v>
      </c>
      <c r="DJ2" s="1">
        <v>6.6643265892481806E-3</v>
      </c>
      <c r="DK2" s="1">
        <v>-6.7894078474712834E-4</v>
      </c>
      <c r="DL2" s="1">
        <v>5.0957702375583583E-4</v>
      </c>
      <c r="DM2" s="1">
        <v>6.6044183361629927E-2</v>
      </c>
      <c r="DN2" s="1">
        <v>2.5163222481418449E-2</v>
      </c>
      <c r="DO2" s="1">
        <v>-6.1674710672523669E-2</v>
      </c>
      <c r="DP2" s="1">
        <v>4.5198655629139051E-2</v>
      </c>
      <c r="DQ2" s="1">
        <v>2.6295004459908282E-2</v>
      </c>
      <c r="DR2" s="1">
        <v>-1.35824165365366E-2</v>
      </c>
      <c r="DS2" s="1">
        <v>4.8349280488785423E-2</v>
      </c>
      <c r="DT2" s="1">
        <v>-4.7761373134328584E-3</v>
      </c>
      <c r="DU2" s="1">
        <v>6.8986743892983475E-3</v>
      </c>
      <c r="DV2" s="1">
        <v>9.8301694430680715E-3</v>
      </c>
      <c r="DW2" s="1">
        <v>1.6076731563421872E-2</v>
      </c>
      <c r="DX2" s="1">
        <v>1.6112607944980952E-2</v>
      </c>
      <c r="DY2" s="1">
        <v>-1.2285679999999957E-2</v>
      </c>
      <c r="DZ2" s="1">
        <v>-2.7046588589646932E-2</v>
      </c>
      <c r="EA2" s="1">
        <v>7.4327336268874625E-4</v>
      </c>
      <c r="EB2" s="1">
        <v>2.153891821380419E-2</v>
      </c>
      <c r="EC2" s="1">
        <v>1.3086578221550974E-3</v>
      </c>
      <c r="ED2" s="1">
        <v>-2.0911943801752261E-2</v>
      </c>
      <c r="EE2" s="1">
        <v>-2.1951924854014961E-2</v>
      </c>
      <c r="EF2" s="1">
        <v>-4.6709200605064068E-2</v>
      </c>
      <c r="EG2" s="1">
        <v>1.9408228548834713E-2</v>
      </c>
      <c r="EH2" s="1">
        <v>-1.9475624584437346E-2</v>
      </c>
      <c r="EI2" s="1">
        <v>5.067475743984267E-2</v>
      </c>
      <c r="EJ2" s="1">
        <v>-3.9989579980168714E-3</v>
      </c>
      <c r="EK2" s="1">
        <v>5.231779862763632E-3</v>
      </c>
      <c r="EL2" s="1">
        <v>-1.0409107649203934E-2</v>
      </c>
      <c r="EM2" s="1">
        <v>-2.0547944702839008E-2</v>
      </c>
      <c r="EN2" s="1">
        <v>2.7097876446107068E-2</v>
      </c>
      <c r="EO2" s="1">
        <v>1.0942267477203671E-2</v>
      </c>
      <c r="EP2" s="1">
        <v>-1.4672290775605053E-2</v>
      </c>
      <c r="EQ2" s="1">
        <v>1.87965396143259E-2</v>
      </c>
      <c r="ER2" s="1">
        <v>-1.8569581663237186E-2</v>
      </c>
      <c r="ES2" s="1">
        <v>3.8085975050927083E-2</v>
      </c>
      <c r="ET2" s="1">
        <v>2.0460935789499812E-2</v>
      </c>
      <c r="EU2" s="1">
        <v>-2.1894734061935817E-3</v>
      </c>
      <c r="EV2" s="1">
        <v>0</v>
      </c>
      <c r="EW2" s="1">
        <v>-1.6283589987210502E-2</v>
      </c>
      <c r="EX2" s="1">
        <v>-2.1131756156775365E-2</v>
      </c>
      <c r="EY2" s="1">
        <v>2.0388636974953033E-2</v>
      </c>
      <c r="EZ2" s="1">
        <v>1.1753467048580032E-3</v>
      </c>
      <c r="FA2" s="1">
        <v>-2.1601361695225717E-2</v>
      </c>
      <c r="FB2" s="1">
        <v>-3.5995921838086068E-4</v>
      </c>
      <c r="FC2" s="1">
        <v>-6.8419099400404432E-3</v>
      </c>
      <c r="FD2" s="1">
        <v>4.3872426731264826E-2</v>
      </c>
      <c r="FE2" s="1">
        <v>1.1578093910556505E-2</v>
      </c>
      <c r="FF2" s="1">
        <v>5.6655566651723471E-2</v>
      </c>
      <c r="FG2" s="1">
        <v>2.0580860163458476E-3</v>
      </c>
      <c r="FH2" s="1">
        <v>2.9294118921324813E-2</v>
      </c>
      <c r="FI2" s="1">
        <v>-1.6908217633814122E-2</v>
      </c>
      <c r="FJ2" s="1">
        <v>1.8160420798203031E-2</v>
      </c>
      <c r="FK2" s="1">
        <v>7.2395605718068102E-3</v>
      </c>
      <c r="FL2" s="1">
        <v>-1.093753125000004E-2</v>
      </c>
      <c r="FM2" s="1">
        <v>1.1585097785732229E-3</v>
      </c>
      <c r="FN2" s="1">
        <v>1.4727488289698496E-3</v>
      </c>
      <c r="FO2" s="1">
        <v>1.0924380596356571E-2</v>
      </c>
      <c r="FP2" s="1">
        <v>-1.7664017407814732E-3</v>
      </c>
      <c r="FQ2" s="1">
        <v>-2.4669537965387397E-2</v>
      </c>
      <c r="FR2" s="1">
        <v>8.1110141337571232E-3</v>
      </c>
      <c r="FS2" s="1">
        <v>1.7996877175491554E-3</v>
      </c>
      <c r="FT2" s="1">
        <v>-1.0461777725398332E-2</v>
      </c>
      <c r="FU2" s="1">
        <v>8.0093977360604328E-3</v>
      </c>
      <c r="FV2" s="1">
        <v>-1.218350997024851E-2</v>
      </c>
      <c r="FW2" s="1">
        <v>3.2175354615516377E-3</v>
      </c>
      <c r="FX2" s="1">
        <v>2.0312432966511449E-3</v>
      </c>
      <c r="FY2" s="1">
        <v>-3.9795192155305907E-2</v>
      </c>
      <c r="FZ2" s="1">
        <v>1.0777788888888848E-2</v>
      </c>
      <c r="GA2" s="1">
        <v>1.5719473279988263E-2</v>
      </c>
      <c r="GB2" s="1">
        <v>2.6731612120157771E-2</v>
      </c>
      <c r="GC2" s="1">
        <v>-1.6021966479868071E-2</v>
      </c>
      <c r="GD2" s="1">
        <v>-1.199780415636539E-2</v>
      </c>
      <c r="GE2" s="1">
        <v>-3.5021179414787676E-2</v>
      </c>
      <c r="GF2" s="1">
        <v>-5.2809101123595095E-3</v>
      </c>
      <c r="GG2" s="1">
        <v>1.6491573664199365E-2</v>
      </c>
      <c r="GH2" s="1">
        <v>-1.6446227724107736E-2</v>
      </c>
      <c r="GI2" s="1">
        <v>-3.547621092585674E-2</v>
      </c>
      <c r="GJ2" s="1">
        <v>3.0807044898470068E-2</v>
      </c>
      <c r="GK2" s="1">
        <v>8.1818295454545043E-3</v>
      </c>
      <c r="GL2" s="1">
        <v>3.3476121128537963E-2</v>
      </c>
      <c r="GM2" s="1">
        <v>-1.1342577943544103E-2</v>
      </c>
      <c r="GN2" s="1">
        <v>-5.5160506533476227E-4</v>
      </c>
      <c r="GO2" s="1">
        <v>-8.7196579810098311E-3</v>
      </c>
      <c r="GP2" s="1">
        <v>-1.5588409297081611E-3</v>
      </c>
      <c r="GQ2" s="1">
        <v>3.5686456689783701E-2</v>
      </c>
      <c r="GR2" s="1">
        <v>1.3998012975180102E-2</v>
      </c>
      <c r="GS2" s="1">
        <v>1.2530535468419477E-2</v>
      </c>
      <c r="GT2" s="1">
        <v>3.4609544330512754E-3</v>
      </c>
      <c r="GU2" s="1">
        <v>-5.2257524810527143E-3</v>
      </c>
      <c r="GV2" s="1">
        <v>1.2187392245285734E-2</v>
      </c>
      <c r="GW2" s="1">
        <v>1.5050908788438722E-2</v>
      </c>
      <c r="GX2" s="1">
        <v>1.3293746668434888E-2</v>
      </c>
      <c r="GY2" s="1">
        <v>7.7555810590829957E-2</v>
      </c>
      <c r="GZ2" s="1">
        <v>4.2144415235620125E-3</v>
      </c>
      <c r="HA2" s="1">
        <v>-1.5388216582721631E-2</v>
      </c>
      <c r="HB2" s="1">
        <v>4.0966181604532803E-2</v>
      </c>
      <c r="HC2" s="1">
        <v>4.1628725546468681E-2</v>
      </c>
      <c r="HD2" s="1">
        <v>-3.0574230581885365E-3</v>
      </c>
      <c r="HE2" s="1">
        <v>0.11500547645125958</v>
      </c>
      <c r="HF2" s="1">
        <v>3.7721045186640503E-2</v>
      </c>
      <c r="HG2" s="1">
        <v>9.4661111064117121E-3</v>
      </c>
      <c r="HH2" s="1">
        <v>1.9879924533835098E-2</v>
      </c>
      <c r="HI2" s="1">
        <v>-4.5421133771705813E-2</v>
      </c>
      <c r="HJ2" s="1">
        <v>1.2329077819105949E-2</v>
      </c>
      <c r="HK2" s="1">
        <v>1.5413845861084623E-2</v>
      </c>
      <c r="HL2" s="1">
        <v>-1.7428763902343176E-2</v>
      </c>
      <c r="HM2" s="1">
        <v>1.9263849382350255E-2</v>
      </c>
      <c r="HN2" s="1">
        <v>-5.2396105431313763E-3</v>
      </c>
      <c r="HO2">
        <v>7.0353697683387464E-2</v>
      </c>
      <c r="HP2">
        <v>1.2302284710017574E-2</v>
      </c>
      <c r="HQ2">
        <v>2.7083291666666613E-2</v>
      </c>
      <c r="HR2">
        <v>-5.797834582738385E-2</v>
      </c>
      <c r="HS2">
        <v>3.5887314607299076E-2</v>
      </c>
      <c r="HT2">
        <v>-3.0313529124826519E-2</v>
      </c>
      <c r="HU2">
        <v>3.4476578088100972E-2</v>
      </c>
      <c r="HV2">
        <v>-1.9513017558819561E-2</v>
      </c>
      <c r="HW2">
        <v>3.1349046101071747E-2</v>
      </c>
      <c r="HX2">
        <v>-3.7909755652039065E-2</v>
      </c>
      <c r="HY2">
        <v>-3.567631370920929E-2</v>
      </c>
      <c r="HZ2">
        <v>-4.1781727409130769E-2</v>
      </c>
      <c r="IA2">
        <v>0</v>
      </c>
      <c r="IB2">
        <v>8.8359589167556943E-2</v>
      </c>
      <c r="IC2">
        <v>-1.1295383464682594E-2</v>
      </c>
      <c r="ID2">
        <v>-5.0160720096521609E-2</v>
      </c>
      <c r="IE2">
        <v>-3.3264335272211967E-2</v>
      </c>
      <c r="IF2">
        <v>-3.402027446250671E-2</v>
      </c>
      <c r="IG2">
        <v>2.1332272344523329E-2</v>
      </c>
    </row>
    <row r="3" spans="1:241">
      <c r="A3" t="s">
        <v>0</v>
      </c>
      <c r="B3" s="1">
        <v>8.3004762567129107E-3</v>
      </c>
      <c r="C3" s="1">
        <v>-3.2760679216524901E-3</v>
      </c>
      <c r="D3" s="1">
        <v>1.1841041378798127E-2</v>
      </c>
      <c r="E3" s="1">
        <v>7.8502833552033958E-3</v>
      </c>
      <c r="F3" s="1">
        <v>3.3036486166887286E-2</v>
      </c>
      <c r="G3" s="1">
        <v>1.071996999999999E-2</v>
      </c>
      <c r="H3" s="1">
        <v>-2.9958810450732402E-2</v>
      </c>
      <c r="I3" s="1">
        <v>2.2867267710686489E-2</v>
      </c>
      <c r="J3" s="1">
        <v>1.4578300265337244E-2</v>
      </c>
      <c r="K3" s="1">
        <v>-1.5528128622244977E-3</v>
      </c>
      <c r="L3" s="1">
        <v>1.177277460129276E-2</v>
      </c>
      <c r="M3" s="1">
        <v>2.5296246915089627E-4</v>
      </c>
      <c r="N3" s="1">
        <v>5.9506723182145137E-2</v>
      </c>
      <c r="O3" s="1">
        <v>-3.1488154308793398E-2</v>
      </c>
      <c r="P3" s="1">
        <v>4.1706161137440759E-2</v>
      </c>
      <c r="Q3" s="1">
        <v>-2.1837124658783834E-4</v>
      </c>
      <c r="R3" s="1">
        <v>3.8880164559320016E-2</v>
      </c>
      <c r="S3" s="1">
        <v>-2.260185062553649E-3</v>
      </c>
      <c r="T3" s="1">
        <v>-3.231235334489665E-3</v>
      </c>
      <c r="U3" s="1">
        <v>-3.2786570870489619E-2</v>
      </c>
      <c r="V3" s="1">
        <v>-4.4389790528233185E-2</v>
      </c>
      <c r="W3" s="1">
        <v>4.3058852495483947E-2</v>
      </c>
      <c r="X3" s="1">
        <v>-2.3866084375783775E-2</v>
      </c>
      <c r="Y3" s="1">
        <v>3.7872628093756307E-2</v>
      </c>
      <c r="Z3" s="1">
        <v>-1.605395075522687E-3</v>
      </c>
      <c r="AA3" s="1">
        <v>-1.9132840108401019E-2</v>
      </c>
      <c r="AB3" s="1">
        <v>2.3079386312912717E-2</v>
      </c>
      <c r="AC3" s="1">
        <v>-4.7349920613029579E-3</v>
      </c>
      <c r="AD3" s="1">
        <v>2.0242039833729727E-2</v>
      </c>
      <c r="AE3" s="1">
        <v>2.6595744680851063E-3</v>
      </c>
      <c r="AF3" s="1">
        <v>2.4580282935454437E-3</v>
      </c>
      <c r="AG3" s="1">
        <v>4.3429932347635404E-2</v>
      </c>
      <c r="AH3" s="1">
        <v>1.0954979443205145E-2</v>
      </c>
      <c r="AI3" s="1">
        <v>8.6122261009752253E-3</v>
      </c>
      <c r="AJ3" s="1">
        <v>-2.5798318156688628E-2</v>
      </c>
      <c r="AK3" s="1">
        <v>-8.6797318704595148E-3</v>
      </c>
      <c r="AL3" s="1">
        <v>2.0464298189270088E-2</v>
      </c>
      <c r="AM3" s="1">
        <v>-2.6749702823026855E-2</v>
      </c>
      <c r="AN3" s="1">
        <v>-4.2005064822817073E-3</v>
      </c>
      <c r="AO3" s="1">
        <v>3.287795366857197E-2</v>
      </c>
      <c r="AP3" s="1">
        <v>-5.9225877561286611E-2</v>
      </c>
      <c r="AQ3" s="1">
        <v>1.3076811437668487E-2</v>
      </c>
      <c r="AR3" s="1">
        <v>2.9025305006818648E-2</v>
      </c>
      <c r="AS3" s="1">
        <v>-3.4975534949372729E-2</v>
      </c>
      <c r="AT3" s="1">
        <v>-3.4698367154747438E-2</v>
      </c>
      <c r="AU3" s="1">
        <v>-6.0890319097438611E-2</v>
      </c>
      <c r="AV3" s="1">
        <v>3.2399565132223349E-2</v>
      </c>
      <c r="AW3" s="1">
        <v>-4.7150077863732806E-2</v>
      </c>
      <c r="AX3" s="1">
        <v>7.4334450808122732E-2</v>
      </c>
      <c r="AY3" s="1">
        <v>-3.0008159845486448E-2</v>
      </c>
      <c r="AZ3" s="1">
        <v>4.0261415006890448E-2</v>
      </c>
      <c r="BA3" s="1">
        <v>-1.2435743390048137E-2</v>
      </c>
      <c r="BB3" s="1">
        <v>1.7781740064898473E-2</v>
      </c>
      <c r="BC3" s="1">
        <v>4.0022715912121747E-3</v>
      </c>
      <c r="BD3" s="1">
        <v>1.8548185058173076E-2</v>
      </c>
      <c r="BE3" s="1">
        <v>-3.6420831611870118E-2</v>
      </c>
      <c r="BF3" s="1">
        <v>1.5263600900374171E-2</v>
      </c>
      <c r="BG3" s="1">
        <v>5.2190288786005151E-2</v>
      </c>
      <c r="BH3" s="1">
        <v>-2.9722730077305713E-2</v>
      </c>
      <c r="BI3" s="1">
        <v>3.5267633217632266E-2</v>
      </c>
      <c r="BJ3" s="1">
        <v>9.3677327953758244E-3</v>
      </c>
      <c r="BK3" s="1">
        <v>7.1352710616438358E-2</v>
      </c>
      <c r="BL3" s="1">
        <v>-2.8241698467417132E-2</v>
      </c>
      <c r="BM3" s="1">
        <v>-1.103622039473681E-2</v>
      </c>
      <c r="BN3" s="1">
        <v>2.6725885326497213E-2</v>
      </c>
      <c r="BO3" s="1">
        <v>3.1974846895851075E-2</v>
      </c>
      <c r="BP3" s="1">
        <v>-1.428343484979188E-2</v>
      </c>
      <c r="BQ3" s="1">
        <v>-2.292996815286703E-3</v>
      </c>
      <c r="BR3" s="1">
        <v>2.1258948931495675E-2</v>
      </c>
      <c r="BS3" s="1">
        <v>-8.6891260182445466E-3</v>
      </c>
      <c r="BT3" s="1">
        <v>-6.1325733968218736E-3</v>
      </c>
      <c r="BU3" s="1">
        <v>-2.0779436488516665E-3</v>
      </c>
      <c r="BV3" s="1">
        <v>2.9723979763193143E-3</v>
      </c>
      <c r="BW3" s="1">
        <v>1.7591462901019917E-2</v>
      </c>
      <c r="BX3" s="1">
        <v>5.6066514797310282E-3</v>
      </c>
      <c r="BY3" s="1">
        <v>-2.4129252352896115E-2</v>
      </c>
      <c r="BZ3" s="1">
        <v>-2.0901086022307679E-2</v>
      </c>
      <c r="CA3" s="1">
        <v>6.2485797443881719E-2</v>
      </c>
      <c r="CB3" s="1">
        <v>-1.2814784555291333E-2</v>
      </c>
      <c r="CC3" s="1">
        <v>3.681086866758352E-2</v>
      </c>
      <c r="CD3" s="1">
        <v>-7.0049785949446129E-4</v>
      </c>
      <c r="CE3" s="1">
        <v>3.5349859688114204E-3</v>
      </c>
      <c r="CF3" s="1">
        <v>-1.1102645653609904E-2</v>
      </c>
      <c r="CG3" s="1">
        <v>-4.298624588837504E-3</v>
      </c>
      <c r="CH3" s="1">
        <v>-2.1706322355582709E-2</v>
      </c>
      <c r="CI3" s="1">
        <v>9.7670378559001798E-3</v>
      </c>
      <c r="CJ3" s="1">
        <v>-3.8858232770514187E-2</v>
      </c>
      <c r="CK3" s="1">
        <v>2.0476955484896635E-2</v>
      </c>
      <c r="CL3" s="1">
        <v>3.8325262990548848E-3</v>
      </c>
      <c r="CM3" s="1">
        <v>2.208458174832598E-2</v>
      </c>
      <c r="CN3" s="1">
        <v>-4.7542397417439729E-2</v>
      </c>
      <c r="CO3" s="1">
        <v>5.4203407610825868E-3</v>
      </c>
      <c r="CP3" s="1">
        <v>-4.5634683081432932E-2</v>
      </c>
      <c r="CQ3" s="1">
        <v>7.6227827172959478E-2</v>
      </c>
      <c r="CR3" s="1">
        <v>-1.9158382438582457E-2</v>
      </c>
      <c r="CS3" s="1">
        <v>-4.9735958438124192E-3</v>
      </c>
      <c r="CT3" s="1">
        <v>-2.2302994282406199E-3</v>
      </c>
      <c r="CU3" s="1">
        <v>2.8520229197047123E-2</v>
      </c>
      <c r="CV3" s="1">
        <v>-1.4720237843296239E-2</v>
      </c>
      <c r="CW3" s="1">
        <v>5.1734940240157221E-2</v>
      </c>
      <c r="CX3" s="1">
        <v>-9.6981335634308292E-3</v>
      </c>
      <c r="CY3" s="1">
        <v>-1.021363202867082E-3</v>
      </c>
      <c r="CZ3" s="1">
        <v>1.5606825510255357E-2</v>
      </c>
      <c r="DA3" s="1">
        <v>-5.4332289480859865E-3</v>
      </c>
      <c r="DB3" s="1">
        <v>3.4088107188236195E-3</v>
      </c>
      <c r="DC3" s="1">
        <v>-1.2164565075222535E-2</v>
      </c>
      <c r="DD3" s="1">
        <v>2.6145418324075693E-2</v>
      </c>
      <c r="DE3" s="1">
        <v>-1.9318132931095996E-3</v>
      </c>
      <c r="DF3" s="1">
        <v>-1.8328983792163518E-3</v>
      </c>
      <c r="DG3" s="1">
        <v>2.7324299717194898E-3</v>
      </c>
      <c r="DH3" s="1">
        <v>2.5417855980483125E-2</v>
      </c>
      <c r="DI3" s="1">
        <v>-4.1574606276039584E-3</v>
      </c>
      <c r="DJ3" s="1">
        <v>1.7646281348374999E-2</v>
      </c>
      <c r="DK3" s="1">
        <v>-1.0643829838093522E-2</v>
      </c>
      <c r="DL3" s="1">
        <v>-3.8901662731699485E-3</v>
      </c>
      <c r="DM3" s="1">
        <v>-3.1467134507695153E-4</v>
      </c>
      <c r="DN3" s="1">
        <v>-3.9723551256671284E-2</v>
      </c>
      <c r="DO3" s="1">
        <v>1.4275734126201228E-2</v>
      </c>
      <c r="DP3" s="1">
        <v>7.5809502946552745E-3</v>
      </c>
      <c r="DQ3" s="1">
        <v>1.3400215842289382E-2</v>
      </c>
      <c r="DR3" s="1">
        <v>-1.2647450359712258E-2</v>
      </c>
      <c r="DS3" s="1">
        <v>2.6085254406266994E-2</v>
      </c>
      <c r="DT3" s="1">
        <v>-6.1068868381419675E-4</v>
      </c>
      <c r="DU3" s="1">
        <v>-1.8246882287017083E-2</v>
      </c>
      <c r="DV3" s="1">
        <v>-1.6689868203018893E-2</v>
      </c>
      <c r="DW3" s="1">
        <v>1.2115205170291148E-2</v>
      </c>
      <c r="DX3" s="1">
        <v>-2.4289249402745304E-3</v>
      </c>
      <c r="DY3" s="1">
        <v>6.2839868071498748E-3</v>
      </c>
      <c r="DZ3" s="1">
        <v>-2.3892305148288932E-2</v>
      </c>
      <c r="EA3" s="1">
        <v>2.6228655535250174E-2</v>
      </c>
      <c r="EB3" s="1">
        <v>2.3793701337805801E-2</v>
      </c>
      <c r="EC3" s="1">
        <v>-1.9638250433415727E-3</v>
      </c>
      <c r="ED3" s="1">
        <v>1.428332612725646E-2</v>
      </c>
      <c r="EE3" s="1">
        <v>-1.754338086637466E-2</v>
      </c>
      <c r="EF3" s="1">
        <v>-2.3467936121067384E-2</v>
      </c>
      <c r="EG3" s="1">
        <v>-4.9750997709940041E-3</v>
      </c>
      <c r="EH3" s="1">
        <v>7.3081871345007053E-5</v>
      </c>
      <c r="EI3" s="1">
        <v>5.4016537750454598E-2</v>
      </c>
      <c r="EJ3" s="1">
        <v>1.2371682385575592E-2</v>
      </c>
      <c r="EK3" s="1">
        <v>2.4961684053524461E-2</v>
      </c>
      <c r="EL3" s="1">
        <v>7.9530727948030101E-3</v>
      </c>
      <c r="EM3" s="1">
        <v>-1.1258670312583241E-2</v>
      </c>
      <c r="EN3" s="1">
        <v>1.9125549167131523E-2</v>
      </c>
      <c r="EO3" s="1">
        <v>7.6988354637465596E-3</v>
      </c>
      <c r="EP3" s="1">
        <v>1.3451149526681441E-3</v>
      </c>
      <c r="EQ3" s="1">
        <v>3.7953335393397128E-3</v>
      </c>
      <c r="ER3" s="1">
        <v>1.2837009929073922E-2</v>
      </c>
      <c r="ES3" s="1">
        <v>2.0460983421589193E-2</v>
      </c>
      <c r="ET3" s="1">
        <v>-9.1765980081604946E-4</v>
      </c>
      <c r="EU3" s="1">
        <v>-1.4432174897766577E-2</v>
      </c>
      <c r="EV3" s="1">
        <v>6.8940401900633094E-3</v>
      </c>
      <c r="EW3" s="1">
        <v>7.7342522368264457E-4</v>
      </c>
      <c r="EX3" s="1">
        <v>-8.8696172447830503E-5</v>
      </c>
      <c r="EY3" s="1">
        <v>-1.0326606395519045E-2</v>
      </c>
      <c r="EZ3" s="1">
        <v>1.0101546505805014E-2</v>
      </c>
      <c r="FA3" s="1">
        <v>-2.0407193712028305E-3</v>
      </c>
      <c r="FB3" s="1">
        <v>-1.3704170100844735E-2</v>
      </c>
      <c r="FC3" s="1">
        <v>-5.2925543558579435E-3</v>
      </c>
      <c r="FD3" s="1">
        <v>1.1728911721474541E-2</v>
      </c>
      <c r="FE3" s="1">
        <v>8.5347377700254953E-3</v>
      </c>
      <c r="FF3" s="1">
        <v>2.9739402431139927E-2</v>
      </c>
      <c r="FG3" s="1">
        <v>-7.4049555666749756E-3</v>
      </c>
      <c r="FH3" s="1">
        <v>2.805340105112979E-3</v>
      </c>
      <c r="FI3" s="1">
        <v>3.8001250436340717E-3</v>
      </c>
      <c r="FJ3" s="1">
        <v>2.7104324544098578E-2</v>
      </c>
      <c r="FK3" s="1">
        <v>8.0080249437357552E-3</v>
      </c>
      <c r="FL3" s="1">
        <v>-7.8014849978678283E-3</v>
      </c>
      <c r="FM3" s="1">
        <v>1.0959864161525249E-2</v>
      </c>
      <c r="FN3" s="1">
        <v>2.269143567896555E-2</v>
      </c>
      <c r="FO3" s="1">
        <v>-3.6806194190762568E-3</v>
      </c>
      <c r="FP3" s="1">
        <v>4.2652283086998376E-3</v>
      </c>
      <c r="FQ3" s="1">
        <v>-4.3863558864579788E-3</v>
      </c>
      <c r="FR3" s="1">
        <v>-5.2331496315009855E-3</v>
      </c>
      <c r="FS3" s="1">
        <v>6.2917340363210514E-3</v>
      </c>
      <c r="FT3" s="1">
        <v>1.4402639598557657E-2</v>
      </c>
      <c r="FU3" s="1">
        <v>1.931731462418294E-2</v>
      </c>
      <c r="FV3" s="1">
        <v>1.4188183252088658E-3</v>
      </c>
      <c r="FW3" s="1">
        <v>-2.2713941522116052E-3</v>
      </c>
      <c r="FX3" s="1">
        <v>-3.0947495308172986E-2</v>
      </c>
      <c r="FY3" s="1">
        <v>-2.2224790990748294E-2</v>
      </c>
      <c r="FZ3" s="1">
        <v>1.6640091070248626E-2</v>
      </c>
      <c r="GA3" s="1">
        <v>1.1711312618284526E-2</v>
      </c>
      <c r="GB3" s="1">
        <v>1.7392556345173744E-2</v>
      </c>
      <c r="GC3" s="1">
        <v>-1.2457684465124385E-2</v>
      </c>
      <c r="GD3" s="1">
        <v>-3.8569564155996792E-2</v>
      </c>
      <c r="GE3" s="1">
        <v>-6.6011439025059959E-2</v>
      </c>
      <c r="GF3" s="1">
        <v>-3.8132715495669101E-2</v>
      </c>
      <c r="GG3" s="1">
        <v>-7.0760349141714557E-3</v>
      </c>
      <c r="GH3" s="1">
        <v>-4.4288589153722059E-3</v>
      </c>
      <c r="GI3" s="1">
        <v>-3.8918316115766211E-2</v>
      </c>
      <c r="GJ3" s="1">
        <v>2.795465669494018E-2</v>
      </c>
      <c r="GK3" s="1">
        <v>-5.0485761802817046E-4</v>
      </c>
      <c r="GL3" s="1">
        <v>1.9549497610921545E-2</v>
      </c>
      <c r="GM3" s="1">
        <v>-2.2160610113381694E-2</v>
      </c>
      <c r="GN3" s="1">
        <v>-1.1475214332364481E-2</v>
      </c>
      <c r="GO3" s="1">
        <v>4.3773607257887289E-3</v>
      </c>
      <c r="GP3" s="1">
        <v>2.6715392484083479E-2</v>
      </c>
      <c r="GQ3" s="1">
        <v>4.5498503228653946E-2</v>
      </c>
      <c r="GR3" s="1">
        <v>1.4274944190531528E-2</v>
      </c>
      <c r="GS3" s="1">
        <v>-1.4948732760616732E-3</v>
      </c>
      <c r="GT3" s="1">
        <v>1.6163065475030946E-2</v>
      </c>
      <c r="GU3" s="1">
        <v>-4.152518114068865E-2</v>
      </c>
      <c r="GV3" s="1">
        <v>2.5869461625070204E-2</v>
      </c>
      <c r="GW3" s="1">
        <v>1.702723987258687E-2</v>
      </c>
      <c r="GX3" s="1">
        <v>-1.5643494080503972E-2</v>
      </c>
      <c r="GY3" s="1">
        <v>3.5386053382916831E-3</v>
      </c>
      <c r="GZ3" s="1">
        <v>1.2347889042323756E-2</v>
      </c>
      <c r="HA3" s="1">
        <v>1.5218479400749125E-2</v>
      </c>
      <c r="HB3" s="1">
        <v>-3.8121103215440995E-4</v>
      </c>
      <c r="HC3" s="1">
        <v>-1.0579482761418615E-3</v>
      </c>
      <c r="HD3" s="1">
        <v>2.2166941154973002E-2</v>
      </c>
      <c r="HE3" s="1">
        <v>2.4662019598033297E-2</v>
      </c>
      <c r="HF3" s="1">
        <v>-4.1035050865208117E-3</v>
      </c>
      <c r="HG3" s="1">
        <v>3.4592597402597022E-3</v>
      </c>
      <c r="HH3" s="1">
        <v>1.4118221616873472E-4</v>
      </c>
      <c r="HI3" s="1">
        <v>-3.7880139350110802E-2</v>
      </c>
      <c r="HJ3" s="1">
        <v>1.9001087553984327E-2</v>
      </c>
      <c r="HK3" s="1">
        <v>2.1886499324089016E-2</v>
      </c>
      <c r="HL3" s="1">
        <v>5.9767339925981171E-3</v>
      </c>
      <c r="HM3" s="1">
        <v>4.4705587935920761E-3</v>
      </c>
      <c r="HN3" s="1">
        <v>-1.2665923132869814E-3</v>
      </c>
      <c r="HO3">
        <v>2.287479637999967E-2</v>
      </c>
      <c r="HP3">
        <v>-2.496816376017021E-2</v>
      </c>
      <c r="HQ3">
        <v>-3.6655486803251723E-2</v>
      </c>
      <c r="HR3">
        <v>-2.2125364819860788E-2</v>
      </c>
      <c r="HS3">
        <v>-6.3035185095239223E-3</v>
      </c>
      <c r="HT3">
        <v>-2.5386650655167868E-2</v>
      </c>
      <c r="HU3">
        <v>4.2185607984818498E-2</v>
      </c>
      <c r="HV3">
        <v>-2.8834001682997736E-2</v>
      </c>
      <c r="HW3">
        <v>1.5779952043815635E-2</v>
      </c>
      <c r="HX3">
        <v>-1.8184073383084597E-2</v>
      </c>
      <c r="HY3">
        <v>-2.2625332396150492E-2</v>
      </c>
      <c r="HZ3">
        <v>-1.9610644711462052E-2</v>
      </c>
      <c r="IA3">
        <v>6.560107089726723E-2</v>
      </c>
      <c r="IB3">
        <v>-2.593053403890063E-3</v>
      </c>
      <c r="IC3">
        <v>-3.8946659695110415E-2</v>
      </c>
      <c r="ID3">
        <v>1.1946573535416982E-2</v>
      </c>
      <c r="IE3">
        <v>-2.2216892714805939E-2</v>
      </c>
      <c r="IF3">
        <v>-1.3185548657737975E-2</v>
      </c>
      <c r="IG3">
        <v>5.0146416638348588E-2</v>
      </c>
    </row>
    <row r="4" spans="1:241">
      <c r="A4" t="s">
        <v>2</v>
      </c>
      <c r="B4" s="1">
        <v>5.5748181385545797E-3</v>
      </c>
      <c r="C4" s="1">
        <v>1.4941518490974295E-2</v>
      </c>
      <c r="D4" s="1">
        <v>-9.9920063948844701E-4</v>
      </c>
      <c r="E4" s="1">
        <v>1.8603720744148778E-2</v>
      </c>
      <c r="F4" s="1">
        <v>4.2812254516889373E-2</v>
      </c>
      <c r="G4" s="1">
        <v>2.7746390458254784E-2</v>
      </c>
      <c r="H4" s="1">
        <v>8.9176643049108714E-3</v>
      </c>
      <c r="I4" s="1">
        <v>4.6192032933769195E-2</v>
      </c>
      <c r="J4" s="1">
        <v>5.7867021584346418E-5</v>
      </c>
      <c r="K4" s="1">
        <v>-5.2077305867376791E-3</v>
      </c>
      <c r="L4" s="1">
        <v>9.4811540251281065E-3</v>
      </c>
      <c r="M4" s="1">
        <v>2.777297608758279E-2</v>
      </c>
      <c r="N4" s="1">
        <v>2.0743398553568361E-2</v>
      </c>
      <c r="O4" s="1">
        <v>-1.9772614928324241E-2</v>
      </c>
      <c r="P4" s="1">
        <v>5.2669916512579178E-2</v>
      </c>
      <c r="Q4" s="1">
        <v>3.5450045244051716E-2</v>
      </c>
      <c r="R4" s="1">
        <v>-1.5935845370894067E-3</v>
      </c>
      <c r="S4" s="1">
        <v>-8.2380805272371238E-3</v>
      </c>
      <c r="T4" s="1">
        <v>-7.9950160938635235E-3</v>
      </c>
      <c r="U4" s="1">
        <v>6.3324262089176232E-3</v>
      </c>
      <c r="V4" s="1">
        <v>-2.6834468771126926E-2</v>
      </c>
      <c r="W4" s="1">
        <v>-1.0687757174156396E-3</v>
      </c>
      <c r="X4" s="1">
        <v>-3.1616112983469731E-2</v>
      </c>
      <c r="Y4" s="1">
        <v>2.9554745332007481E-2</v>
      </c>
      <c r="Z4" s="1">
        <v>-1.0141117132585796E-2</v>
      </c>
      <c r="AA4" s="1">
        <v>2.2170424978317452E-2</v>
      </c>
      <c r="AB4" s="1">
        <v>-7.6894521928195826E-3</v>
      </c>
      <c r="AC4" s="1">
        <v>7.3749465583582479E-3</v>
      </c>
      <c r="AD4" s="1">
        <v>3.5490716180371341E-2</v>
      </c>
      <c r="AE4" s="1">
        <v>5.2256775449562492E-3</v>
      </c>
      <c r="AF4" s="1">
        <v>1.2996279496457789E-2</v>
      </c>
      <c r="AG4" s="1">
        <v>2.0074461662306347E-2</v>
      </c>
      <c r="AH4" s="1">
        <v>2.3674475955609855E-3</v>
      </c>
      <c r="AI4" s="1">
        <v>4.4284800472371485E-3</v>
      </c>
      <c r="AJ4" s="1">
        <v>-1.0336550237593618E-2</v>
      </c>
      <c r="AK4" s="1">
        <v>-3.8808038808038826E-2</v>
      </c>
      <c r="AL4" s="1">
        <v>1.1175198269646655E-2</v>
      </c>
      <c r="AM4" s="1">
        <v>-3.0048382989559634E-3</v>
      </c>
      <c r="AN4" s="1">
        <v>-2.7738046587658247E-2</v>
      </c>
      <c r="AO4" s="1">
        <v>2.8319235012872306E-2</v>
      </c>
      <c r="AP4" s="1">
        <v>-2.8561209891682014E-2</v>
      </c>
      <c r="AQ4" s="1">
        <v>-2.6192605059695943E-2</v>
      </c>
      <c r="AR4" s="1">
        <v>2.3332433162300801E-2</v>
      </c>
      <c r="AS4" s="1">
        <v>1.4830843933076489E-2</v>
      </c>
      <c r="AT4" s="1">
        <v>-1.3729977116704883E-2</v>
      </c>
      <c r="AU4" s="1">
        <v>-4.2817970892216707E-2</v>
      </c>
      <c r="AV4" s="1">
        <v>6.059938298809234E-4</v>
      </c>
      <c r="AW4" s="1">
        <v>-1.5526069481913743E-2</v>
      </c>
      <c r="AX4" s="1">
        <v>4.5635031597785342E-2</v>
      </c>
      <c r="AY4" s="1">
        <v>1.2568861314649378E-2</v>
      </c>
      <c r="AZ4" s="1">
        <v>1.9966194802450883E-2</v>
      </c>
      <c r="BA4" s="1">
        <v>9.3733816675297902E-3</v>
      </c>
      <c r="BB4" s="1">
        <v>-1.7957005797547294E-3</v>
      </c>
      <c r="BC4" s="1">
        <v>-1.1307565789473626E-3</v>
      </c>
      <c r="BD4" s="1">
        <v>1.0085417309869341E-2</v>
      </c>
      <c r="BE4" s="1">
        <v>-3.1074885379521835E-3</v>
      </c>
      <c r="BF4" s="1">
        <v>-2.0440492615867977E-4</v>
      </c>
      <c r="BG4" s="1">
        <v>4.7022744697162661E-3</v>
      </c>
      <c r="BH4" s="1">
        <v>-2.4825761815129448E-2</v>
      </c>
      <c r="BI4" s="1">
        <v>-2.1440868068235093E-2</v>
      </c>
      <c r="BJ4" s="1">
        <v>-2.1324234993069925E-3</v>
      </c>
      <c r="BK4" s="1">
        <v>2.7887594828507313E-2</v>
      </c>
      <c r="BL4" s="1">
        <v>-1.7359667359667378E-2</v>
      </c>
      <c r="BM4" s="1">
        <v>-4.0727811276843875E-3</v>
      </c>
      <c r="BN4" s="1">
        <v>3.1493972064368832E-2</v>
      </c>
      <c r="BO4" s="1">
        <v>2.6464833693749433E-2</v>
      </c>
      <c r="BP4" s="1">
        <v>-5.5176565008032525E-4</v>
      </c>
      <c r="BQ4" s="1">
        <v>-2.1279799247176958E-2</v>
      </c>
      <c r="BR4" s="1">
        <v>9.1790164606944287E-3</v>
      </c>
      <c r="BS4" s="1">
        <v>2.0325203252028476E-4</v>
      </c>
      <c r="BT4" s="1">
        <v>-2.5909368014631142E-2</v>
      </c>
      <c r="BU4" s="1">
        <v>1.4185876708042134E-2</v>
      </c>
      <c r="BV4" s="1">
        <v>7.6622441633239771E-3</v>
      </c>
      <c r="BW4" s="1">
        <v>2.3475376371523754E-3</v>
      </c>
      <c r="BX4" s="1">
        <v>1.2270251005549598E-2</v>
      </c>
      <c r="BY4" s="1">
        <v>-1.5189618750628619E-2</v>
      </c>
      <c r="BZ4" s="1">
        <v>-1.3483146067415805E-2</v>
      </c>
      <c r="CA4" s="1">
        <v>1.2476703251190706E-2</v>
      </c>
      <c r="CB4" s="1">
        <v>-1.1146903921869443E-2</v>
      </c>
      <c r="CC4" s="1">
        <v>1.6805419101297896E-2</v>
      </c>
      <c r="CD4" s="1">
        <v>1.1442229454841335E-2</v>
      </c>
      <c r="CE4" s="1">
        <v>1.070943737744494E-2</v>
      </c>
      <c r="CF4" s="1">
        <v>1.1590886478957238E-2</v>
      </c>
      <c r="CG4" s="1">
        <v>-1.0179493484140611E-2</v>
      </c>
      <c r="CH4" s="1">
        <v>4.8688394276629066E-3</v>
      </c>
      <c r="CI4" s="1">
        <v>1.4980717887867107E-2</v>
      </c>
      <c r="CJ4" s="1">
        <v>-2.5281309367236583E-2</v>
      </c>
      <c r="CK4" s="1">
        <v>1.8940529735132394E-2</v>
      </c>
      <c r="CL4" s="1">
        <v>-2.2757369169650238E-2</v>
      </c>
      <c r="CM4" s="1">
        <v>7.2271016311166759E-3</v>
      </c>
      <c r="CN4" s="1">
        <v>-1.6991379739897339E-2</v>
      </c>
      <c r="CO4" s="1">
        <v>-1.262165450121659E-2</v>
      </c>
      <c r="CP4" s="1">
        <v>-2.8543559730992363E-2</v>
      </c>
      <c r="CQ4" s="1">
        <v>7.0813295989008273E-3</v>
      </c>
      <c r="CR4" s="1">
        <v>1.5374927848034878E-2</v>
      </c>
      <c r="CS4" s="1">
        <v>1.018087855297157E-2</v>
      </c>
      <c r="CT4" s="1">
        <v>-2.7523405126106286E-2</v>
      </c>
      <c r="CU4" s="1">
        <v>1.2941238360776515E-2</v>
      </c>
      <c r="CV4" s="1">
        <v>3.1160737470787989E-4</v>
      </c>
      <c r="CW4" s="1">
        <v>-1.246041223197137E-2</v>
      </c>
      <c r="CX4" s="1">
        <v>1.0514694285263058E-3</v>
      </c>
      <c r="CY4" s="1">
        <v>2.8674964550181231E-2</v>
      </c>
      <c r="CZ4" s="1">
        <v>-1.7868994741409828E-3</v>
      </c>
      <c r="DA4" s="1">
        <v>1.1200900163666108E-2</v>
      </c>
      <c r="DB4" s="1">
        <v>4.9567548429517464E-3</v>
      </c>
      <c r="DC4" s="1">
        <v>-9.5123056016910082E-3</v>
      </c>
      <c r="DD4" s="1">
        <v>8.0284552845527636E-3</v>
      </c>
      <c r="DE4" s="1">
        <v>-2.5708236717410572E-3</v>
      </c>
      <c r="DF4" s="1">
        <v>-1.1320564006671092E-2</v>
      </c>
      <c r="DG4" s="1">
        <v>-3.680417113939574E-3</v>
      </c>
      <c r="DH4" s="1">
        <v>-1.4365604638038128E-3</v>
      </c>
      <c r="DI4" s="1">
        <v>9.4538354827108026E-3</v>
      </c>
      <c r="DJ4" s="1">
        <v>-6.616786277802996E-4</v>
      </c>
      <c r="DK4" s="1">
        <v>-8.9640419680146223E-3</v>
      </c>
      <c r="DL4" s="1">
        <v>-4.0086339808819054E-3</v>
      </c>
      <c r="DM4" s="1">
        <v>-9.8039215686274803E-3</v>
      </c>
      <c r="DN4" s="1">
        <v>4.689942678478552E-4</v>
      </c>
      <c r="DO4" s="1">
        <v>-1.8803062659513585E-2</v>
      </c>
      <c r="DP4" s="1">
        <v>1.0935343454719196E-2</v>
      </c>
      <c r="DQ4" s="1">
        <v>2.6044948540222684E-2</v>
      </c>
      <c r="DR4" s="1">
        <v>-1.3050153531218071E-2</v>
      </c>
      <c r="DS4" s="1">
        <v>2.1778584392015345E-3</v>
      </c>
      <c r="DT4" s="1">
        <v>-3.1044652558597955E-4</v>
      </c>
      <c r="DU4" s="1">
        <v>1.8736090264479088E-2</v>
      </c>
      <c r="DV4" s="1">
        <v>4.3692526545749382E-3</v>
      </c>
      <c r="DW4" s="1">
        <v>-1.2646062016288128E-3</v>
      </c>
      <c r="DX4" s="1">
        <v>-1.6156807131280378E-2</v>
      </c>
      <c r="DY4" s="1">
        <v>-2.0592020592016496E-4</v>
      </c>
      <c r="DZ4" s="1">
        <v>-6.5908037691159108E-3</v>
      </c>
      <c r="EA4" s="1">
        <v>1.736381070854711E-2</v>
      </c>
      <c r="EB4" s="1">
        <v>2.8632565722437359E-2</v>
      </c>
      <c r="EC4" s="1">
        <v>-3.4670629024270284E-3</v>
      </c>
      <c r="ED4" s="1">
        <v>-6.0139165009939341E-3</v>
      </c>
      <c r="EE4" s="1">
        <v>4.9502475123755219E-3</v>
      </c>
      <c r="EF4" s="1">
        <v>-2.930639864663144E-2</v>
      </c>
      <c r="EG4" s="1">
        <v>-3.9212671074888544E-2</v>
      </c>
      <c r="EH4" s="1">
        <v>2.8649167733674801E-2</v>
      </c>
      <c r="EI4" s="1">
        <v>3.3400757222135771E-2</v>
      </c>
      <c r="EJ4" s="1">
        <v>5.7716436637390497E-3</v>
      </c>
      <c r="EK4" s="1">
        <v>-9.980039920160532E-4</v>
      </c>
      <c r="EL4" s="1">
        <v>3.296703296703422E-3</v>
      </c>
      <c r="EM4" s="1">
        <v>-1.9316937170168393E-2</v>
      </c>
      <c r="EN4" s="1">
        <v>1.4925373134328348E-2</v>
      </c>
      <c r="EO4" s="1">
        <v>2.0308123249299731E-2</v>
      </c>
      <c r="EP4" s="1">
        <v>2.8924404353368148E-3</v>
      </c>
      <c r="EQ4" s="1">
        <v>5.4748985677274507E-3</v>
      </c>
      <c r="ER4" s="1">
        <v>4.7158345082405507E-3</v>
      </c>
      <c r="ES4" s="1">
        <v>-1.7903803348495334E-3</v>
      </c>
      <c r="ET4" s="1">
        <v>1.1391730088710042E-2</v>
      </c>
      <c r="EU4" s="1">
        <v>1.188650306748475E-2</v>
      </c>
      <c r="EV4" s="1">
        <v>7.9575596816976457E-3</v>
      </c>
      <c r="EW4" s="1">
        <v>2.5892857142857099E-2</v>
      </c>
      <c r="EX4" s="1">
        <v>9.619348632678666E-4</v>
      </c>
      <c r="EY4" s="1">
        <v>-8.6948563060588373E-4</v>
      </c>
      <c r="EZ4" s="1">
        <v>-9.3894563275775719E-3</v>
      </c>
      <c r="FA4" s="1">
        <v>-2.8389125208063689E-2</v>
      </c>
      <c r="FB4" s="1">
        <v>-3.4643570952698072E-2</v>
      </c>
      <c r="FC4" s="1">
        <v>2.124617963127267E-2</v>
      </c>
      <c r="FD4" s="1">
        <v>-2.4569194381425762E-2</v>
      </c>
      <c r="FE4" s="1">
        <v>-5.7403008709423246E-3</v>
      </c>
      <c r="FF4" s="1">
        <v>2.5383237109297348E-2</v>
      </c>
      <c r="FG4" s="1">
        <v>1.4950004853897601E-2</v>
      </c>
      <c r="FH4" s="1">
        <v>2.6781444285031196E-3</v>
      </c>
      <c r="FI4" s="1">
        <v>-1.6312124391872497E-2</v>
      </c>
      <c r="FJ4" s="1">
        <v>4.2668735453839967E-3</v>
      </c>
      <c r="FK4" s="1">
        <v>9.4631131711085739E-3</v>
      </c>
      <c r="FL4" s="1">
        <v>2.9653721063706527E-3</v>
      </c>
      <c r="FM4" s="1">
        <v>3.2236528373867521E-2</v>
      </c>
      <c r="FN4" s="1">
        <v>2.1574424835997353E-2</v>
      </c>
      <c r="FO4" s="1">
        <v>9.180120291231407E-3</v>
      </c>
      <c r="FP4" s="1">
        <v>-3.9433590249148389E-3</v>
      </c>
      <c r="FQ4" s="1">
        <v>-2.0604642792873908E-2</v>
      </c>
      <c r="FR4" s="1">
        <v>5.9255856683510357E-3</v>
      </c>
      <c r="FS4" s="1">
        <v>1.3105621261244826E-2</v>
      </c>
      <c r="FT4" s="1">
        <v>8.6991796628503489E-3</v>
      </c>
      <c r="FU4" s="1">
        <v>5.0046918986550093E-3</v>
      </c>
      <c r="FV4" s="1">
        <v>3.8948912898492692E-2</v>
      </c>
      <c r="FW4" s="1">
        <v>-1.3266572516797168E-2</v>
      </c>
      <c r="FX4" s="1">
        <v>-1.2057075942230131E-2</v>
      </c>
      <c r="FY4" s="1">
        <v>-5.8782211686202145E-2</v>
      </c>
      <c r="FZ4" s="1">
        <v>2.0429104477611919E-2</v>
      </c>
      <c r="GA4" s="1">
        <v>1.2066916537160556E-2</v>
      </c>
      <c r="GB4" s="1">
        <v>1.2284346490831899E-2</v>
      </c>
      <c r="GC4" s="1">
        <v>-1.7578299277237433E-2</v>
      </c>
      <c r="GD4" s="1">
        <v>1.1534968210717624E-2</v>
      </c>
      <c r="GE4" s="1">
        <v>-6.5547274849600788E-3</v>
      </c>
      <c r="GF4" s="1">
        <v>-2.5307302964569751E-2</v>
      </c>
      <c r="GG4" s="1">
        <v>1.5485905044510402E-2</v>
      </c>
      <c r="GH4" s="1">
        <v>4.2005296319970204E-3</v>
      </c>
      <c r="GI4" s="1">
        <v>-8.6841865963444426E-3</v>
      </c>
      <c r="GJ4" s="1">
        <v>2.5684538824932452E-3</v>
      </c>
      <c r="GK4" s="1">
        <v>-6.496180063131963E-3</v>
      </c>
      <c r="GL4" s="1">
        <v>2.8779297324676524E-2</v>
      </c>
      <c r="GM4" s="1">
        <v>-6.9823650523676214E-3</v>
      </c>
      <c r="GN4" s="1">
        <v>6.7610204633552686E-3</v>
      </c>
      <c r="GO4" s="1">
        <v>4.5173710601719083E-2</v>
      </c>
      <c r="GP4" s="1">
        <v>2.8785607196401795E-2</v>
      </c>
      <c r="GQ4" s="1">
        <v>1.1283674064204555E-2</v>
      </c>
      <c r="GR4" s="1">
        <v>1.5398550724637718E-2</v>
      </c>
      <c r="GS4" s="1">
        <v>3.0411158867893924E-3</v>
      </c>
      <c r="GT4" s="1">
        <v>1.2814811820350032E-2</v>
      </c>
      <c r="GU4" s="1">
        <v>1.6085255847369688E-2</v>
      </c>
      <c r="GV4" s="1">
        <v>-1.0959657461601886E-2</v>
      </c>
      <c r="GW4" s="1">
        <v>2.3830328064183921E-4</v>
      </c>
      <c r="GX4" s="1">
        <v>1.4294790343074945E-2</v>
      </c>
      <c r="GY4" s="1">
        <v>1.0061071093015945E-2</v>
      </c>
      <c r="GZ4" s="1">
        <v>-1.5425758691523545E-2</v>
      </c>
      <c r="HA4" s="1">
        <v>6.416564972641009E-3</v>
      </c>
      <c r="HB4" s="1">
        <v>6.2974262692638084E-3</v>
      </c>
      <c r="HC4" s="1">
        <v>2.8841295137404348E-2</v>
      </c>
      <c r="HD4" s="1">
        <v>1.4016396539347839E-2</v>
      </c>
      <c r="HE4" s="1">
        <v>2.2429210134128314E-2</v>
      </c>
      <c r="HF4" s="1">
        <v>-4.6279425697836841E-3</v>
      </c>
      <c r="HG4" s="1">
        <v>5.5280981145892291E-3</v>
      </c>
      <c r="HH4" s="1">
        <v>7.5729993446442285E-3</v>
      </c>
      <c r="HI4" s="1">
        <v>-1.3911975139119834E-2</v>
      </c>
      <c r="HJ4" s="1">
        <v>1.964161383707726E-2</v>
      </c>
      <c r="HK4" s="1">
        <v>1.5884995507637074E-2</v>
      </c>
      <c r="HL4" s="1">
        <v>-5.3065411964493619E-4</v>
      </c>
      <c r="HM4" s="1">
        <v>-1.1078861673509825E-2</v>
      </c>
      <c r="HN4" s="1">
        <v>-2.4696660581982094E-3</v>
      </c>
      <c r="HO4">
        <v>-1.2055974165769694E-2</v>
      </c>
      <c r="HP4">
        <v>3.595554587056037E-3</v>
      </c>
      <c r="HQ4">
        <v>-8.6128903846849625E-3</v>
      </c>
      <c r="HR4">
        <v>1.6061325059317311E-3</v>
      </c>
      <c r="HS4">
        <v>1.1698677065490859E-2</v>
      </c>
      <c r="HT4">
        <v>-3.375360230547552E-2</v>
      </c>
      <c r="HU4">
        <v>2.2368862543339668E-2</v>
      </c>
      <c r="HV4">
        <v>-2.3520402581774586E-2</v>
      </c>
      <c r="HW4">
        <v>-1.8261259242661837E-2</v>
      </c>
      <c r="HX4">
        <v>-6.3144280877932531E-3</v>
      </c>
      <c r="HY4">
        <v>-1.879569727826063E-2</v>
      </c>
      <c r="HZ4">
        <v>-2.5475967540574289E-2</v>
      </c>
      <c r="IA4">
        <v>3.9272989311021383E-2</v>
      </c>
      <c r="IB4">
        <v>5.6625577812017347E-3</v>
      </c>
      <c r="IC4">
        <v>-2.0454284291569324E-2</v>
      </c>
      <c r="ID4">
        <v>-3.9103742228095671E-5</v>
      </c>
      <c r="IE4">
        <v>-1.5798529641795685E-2</v>
      </c>
      <c r="IF4">
        <v>-2.3839796567069294E-2</v>
      </c>
      <c r="IG4">
        <v>6.3497232171931062E-3</v>
      </c>
    </row>
    <row r="5" spans="1:241">
      <c r="A5" t="s">
        <v>3</v>
      </c>
      <c r="B5" s="1">
        <v>1.2362208238496944E-2</v>
      </c>
      <c r="C5" s="1">
        <v>3.2269441015693852E-2</v>
      </c>
      <c r="D5" s="1">
        <v>4.1723607789545654E-2</v>
      </c>
      <c r="E5" s="1">
        <v>1.303652687246344E-2</v>
      </c>
      <c r="F5" s="1">
        <v>3.5368864068633321E-2</v>
      </c>
      <c r="G5" s="1">
        <v>2.2161422708618282E-2</v>
      </c>
      <c r="H5" s="1">
        <v>2.3057509941878364E-2</v>
      </c>
      <c r="I5" s="1">
        <v>3.1881891235283025E-2</v>
      </c>
      <c r="J5" s="1">
        <v>7.4434946392350085E-2</v>
      </c>
      <c r="K5" s="1">
        <v>2.2519637258537596E-2</v>
      </c>
      <c r="L5" s="1">
        <v>-3.2046421153275613E-2</v>
      </c>
      <c r="M5" s="1">
        <v>2.183316870465624E-2</v>
      </c>
      <c r="N5" s="1">
        <v>2.1766666666666577E-2</v>
      </c>
      <c r="O5" s="1">
        <v>1.9247708217793751E-3</v>
      </c>
      <c r="P5" s="1">
        <v>-2.0513154467309232E-2</v>
      </c>
      <c r="Q5" s="1">
        <v>4.9464796223655329E-2</v>
      </c>
      <c r="R5" s="1">
        <v>-4.2445359518529461E-3</v>
      </c>
      <c r="S5" s="1">
        <v>1.0688382745896468E-2</v>
      </c>
      <c r="T5" s="1">
        <v>-2.360569054513408E-3</v>
      </c>
      <c r="U5" s="1">
        <v>-7.6663406631542622E-3</v>
      </c>
      <c r="V5" s="1">
        <v>2.0887645450499117E-2</v>
      </c>
      <c r="W5" s="1">
        <v>-2.9242315717355381E-2</v>
      </c>
      <c r="X5" s="1">
        <v>-8.2124983959964131E-3</v>
      </c>
      <c r="Y5" s="1">
        <v>-4.363436408332258E-2</v>
      </c>
      <c r="Z5" s="1">
        <v>4.7519193695674269E-2</v>
      </c>
      <c r="AA5" s="1">
        <v>7.4906367041198277E-3</v>
      </c>
      <c r="AB5" s="1">
        <v>2.3426483784130245E-2</v>
      </c>
      <c r="AC5" s="1">
        <v>-4.540472835447144E-3</v>
      </c>
      <c r="AD5" s="1">
        <v>1.5728216420257944E-3</v>
      </c>
      <c r="AE5" s="1">
        <v>2.6821608040201072E-2</v>
      </c>
      <c r="AF5" s="1">
        <v>5.0773842295223134E-3</v>
      </c>
      <c r="AG5" s="1">
        <v>-1.1655508216676935E-2</v>
      </c>
      <c r="AH5" s="1">
        <v>-7.7901283985588963E-3</v>
      </c>
      <c r="AI5" s="1">
        <v>8.6271102284011074E-3</v>
      </c>
      <c r="AJ5" s="1">
        <v>3.3844071134084756E-3</v>
      </c>
      <c r="AK5" s="1">
        <v>-2.0207285661719709E-2</v>
      </c>
      <c r="AL5" s="1">
        <v>-4.9072074609582669E-2</v>
      </c>
      <c r="AM5" s="1">
        <v>1.5303603751851167E-2</v>
      </c>
      <c r="AN5" s="1">
        <v>-1.8217179902755284E-2</v>
      </c>
      <c r="AO5" s="1">
        <v>-4.202984680401485E-2</v>
      </c>
      <c r="AP5" s="1">
        <v>2.7571945545421656E-4</v>
      </c>
      <c r="AQ5" s="1">
        <v>-2.5290287013747824E-2</v>
      </c>
      <c r="AR5" s="1">
        <v>-1.2796493336632631E-2</v>
      </c>
      <c r="AS5" s="1">
        <v>2.9111612418090006E-2</v>
      </c>
      <c r="AT5" s="1">
        <v>-5.5671537926234027E-3</v>
      </c>
      <c r="AU5" s="1">
        <v>-2.3827851644506653E-2</v>
      </c>
      <c r="AV5" s="1">
        <v>-6.623893329510025E-2</v>
      </c>
      <c r="AW5" s="1">
        <v>-2.3569152815630826E-2</v>
      </c>
      <c r="AX5" s="1">
        <v>-2.6968589063175744E-2</v>
      </c>
      <c r="AY5" s="1">
        <v>5.3331178538240834E-2</v>
      </c>
      <c r="AZ5" s="1">
        <v>1.5227647577768507E-2</v>
      </c>
      <c r="BA5" s="1">
        <v>3.6761372223061875E-2</v>
      </c>
      <c r="BB5" s="1">
        <v>1.3556357275609381E-2</v>
      </c>
      <c r="BC5" s="1">
        <v>1.5460396217596333E-3</v>
      </c>
      <c r="BD5" s="1">
        <v>2.0821367030441702E-3</v>
      </c>
      <c r="BE5" s="1">
        <v>-1.2395213871175681E-2</v>
      </c>
      <c r="BF5" s="1">
        <v>-5.695008705745767E-3</v>
      </c>
      <c r="BG5" s="1">
        <v>-3.2833533982708917E-3</v>
      </c>
      <c r="BH5" s="1">
        <v>1.1163573807693759E-2</v>
      </c>
      <c r="BI5" s="1">
        <v>-2.9066821110547935E-2</v>
      </c>
      <c r="BJ5" s="1">
        <v>-3.81761920739664E-2</v>
      </c>
      <c r="BK5" s="1">
        <v>-3.8761192294283782E-4</v>
      </c>
      <c r="BL5" s="1">
        <v>2.3420838341928811E-2</v>
      </c>
      <c r="BM5" s="1">
        <v>-1.5420755503353135E-2</v>
      </c>
      <c r="BN5" s="1">
        <v>1.2160394058338983E-2</v>
      </c>
      <c r="BO5" s="1">
        <v>2.4750969508022171E-2</v>
      </c>
      <c r="BP5" s="1">
        <v>1.1612807479687057E-2</v>
      </c>
      <c r="BQ5" s="1">
        <v>1.2286363969779087E-2</v>
      </c>
      <c r="BR5" s="1">
        <v>-9.9271765515742509E-3</v>
      </c>
      <c r="BS5" s="1">
        <v>-4.6108244593259084E-3</v>
      </c>
      <c r="BT5" s="1">
        <v>-5.7718466232858836E-3</v>
      </c>
      <c r="BU5" s="1">
        <v>-2.1853276142582551E-2</v>
      </c>
      <c r="BV5" s="1">
        <v>-3.8180924658828526E-3</v>
      </c>
      <c r="BW5" s="1">
        <v>1.722829386763821E-2</v>
      </c>
      <c r="BX5" s="1">
        <v>-3.9916436618667207E-3</v>
      </c>
      <c r="BY5" s="1">
        <v>4.232368253492623E-3</v>
      </c>
      <c r="BZ5" s="1">
        <v>4.1772340742951084E-3</v>
      </c>
      <c r="CA5" s="1">
        <v>-2.4699153171891374E-2</v>
      </c>
      <c r="CB5" s="1">
        <v>7.616436269469516E-3</v>
      </c>
      <c r="CC5" s="1">
        <v>6.6895952227976826E-3</v>
      </c>
      <c r="CD5" s="1">
        <v>1.156329779246127E-2</v>
      </c>
      <c r="CE5" s="1">
        <v>2.635095011876493E-2</v>
      </c>
      <c r="CF5" s="1">
        <v>1.4934548347436159E-2</v>
      </c>
      <c r="CG5" s="1">
        <v>-1.1757580076246166E-2</v>
      </c>
      <c r="CH5" s="1">
        <v>-2.0910696903053108E-3</v>
      </c>
      <c r="CI5" s="1">
        <v>-1.6366198200802158E-2</v>
      </c>
      <c r="CJ5" s="1">
        <v>-1.5059134650701411E-2</v>
      </c>
      <c r="CK5" s="1">
        <v>-3.1175417661097899E-2</v>
      </c>
      <c r="CL5" s="1">
        <v>4.8883756735950031E-3</v>
      </c>
      <c r="CM5" s="1">
        <v>-2.5318879993871321E-2</v>
      </c>
      <c r="CN5" s="1">
        <v>1.2497052581938136E-2</v>
      </c>
      <c r="CO5" s="1">
        <v>-5.7444496196241319E-3</v>
      </c>
      <c r="CP5" s="1">
        <v>-3.7671767645221864E-2</v>
      </c>
      <c r="CQ5" s="1">
        <v>-5.4196584317066185E-2</v>
      </c>
      <c r="CR5" s="1">
        <v>3.1310315247694544E-2</v>
      </c>
      <c r="CS5" s="1">
        <v>3.9093366604283546E-3</v>
      </c>
      <c r="CT5" s="1">
        <v>2.7880193877128374E-2</v>
      </c>
      <c r="CU5" s="1">
        <v>-2.2166693535386105E-2</v>
      </c>
      <c r="CV5" s="1">
        <v>2.6502349352897563E-2</v>
      </c>
      <c r="CW5" s="1">
        <v>1.0118450110419522E-2</v>
      </c>
      <c r="CX5" s="1">
        <v>-3.4185316214174395E-3</v>
      </c>
      <c r="CY5" s="1">
        <v>2.9915041282756968E-3</v>
      </c>
      <c r="CZ5" s="1">
        <v>3.5353535353535415E-2</v>
      </c>
      <c r="DA5" s="1">
        <v>1.4442097176877245E-2</v>
      </c>
      <c r="DB5" s="1">
        <v>1.2267615766158074E-2</v>
      </c>
      <c r="DC5" s="1">
        <v>1.5186085655507768E-2</v>
      </c>
      <c r="DD5" s="1">
        <v>-3.2791717328029294E-3</v>
      </c>
      <c r="DE5" s="1">
        <v>3.1420967026468388E-3</v>
      </c>
      <c r="DF5" s="1">
        <v>7.4068614806352615E-3</v>
      </c>
      <c r="DG5" s="1">
        <v>-1.0425049381812945E-2</v>
      </c>
      <c r="DH5" s="1">
        <v>2.4766199682106087E-3</v>
      </c>
      <c r="DI5" s="1">
        <v>3.5398230088496919E-3</v>
      </c>
      <c r="DJ5" s="1">
        <v>6.6504997060552696E-3</v>
      </c>
      <c r="DK5" s="1">
        <v>-4.0515384896157008E-3</v>
      </c>
      <c r="DL5" s="1">
        <v>-1.7884629480319561E-2</v>
      </c>
      <c r="DM5" s="1">
        <v>-1.6568400626912446E-2</v>
      </c>
      <c r="DN5" s="1">
        <v>-2.1666540183653472E-2</v>
      </c>
      <c r="DO5" s="1">
        <v>4.1888065779778962E-3</v>
      </c>
      <c r="DP5" s="1">
        <v>-8.9992661542622563E-3</v>
      </c>
      <c r="DQ5" s="1">
        <v>3.3439862810819398E-2</v>
      </c>
      <c r="DR5" s="1">
        <v>1.1313923668726598E-3</v>
      </c>
      <c r="DS5" s="1">
        <v>9.0409101182853703E-3</v>
      </c>
      <c r="DT5" s="1">
        <v>1.2319868588067798E-3</v>
      </c>
      <c r="DU5" s="1">
        <v>8.3150005593050375E-3</v>
      </c>
      <c r="DV5" s="1">
        <v>1.0280304711189899E-2</v>
      </c>
      <c r="DW5" s="1">
        <v>2.9282576866758453E-4</v>
      </c>
      <c r="DX5" s="1">
        <v>1.771077283372377E-2</v>
      </c>
      <c r="DY5" s="1">
        <v>-2.0602617575147482E-2</v>
      </c>
      <c r="DZ5" s="1">
        <v>5.8739307610420732E-4</v>
      </c>
      <c r="EA5" s="1">
        <v>-8.2186754723904201E-3</v>
      </c>
      <c r="EB5" s="1">
        <v>1.1209352225222791E-2</v>
      </c>
      <c r="EC5" s="1">
        <v>4.0901441428257877E-2</v>
      </c>
      <c r="ED5" s="1">
        <v>-3.5849852382960137E-3</v>
      </c>
      <c r="EE5" s="1">
        <v>5.9964726631398912E-4</v>
      </c>
      <c r="EF5" s="1">
        <v>-2.4676560792467715E-4</v>
      </c>
      <c r="EG5" s="1">
        <v>-1.8829337094499406E-2</v>
      </c>
      <c r="EH5" s="1">
        <v>-2.4868827715086667E-2</v>
      </c>
      <c r="EI5" s="1">
        <v>-1.0319156777473749E-3</v>
      </c>
      <c r="EJ5" s="1">
        <v>3.2907843281930256E-2</v>
      </c>
      <c r="EK5" s="1">
        <v>2.0394313879562753E-2</v>
      </c>
      <c r="EL5" s="1">
        <v>-9.3107914172705555E-3</v>
      </c>
      <c r="EM5" s="1">
        <v>4.5578207257181945E-3</v>
      </c>
      <c r="EN5" s="1">
        <v>-8.6522228474957084E-3</v>
      </c>
      <c r="EO5" s="1">
        <v>9.2599162704889437E-3</v>
      </c>
      <c r="EP5" s="1">
        <v>3.5645234998418061E-2</v>
      </c>
      <c r="EQ5" s="1">
        <v>-4.8538746138963602E-3</v>
      </c>
      <c r="ER5" s="1">
        <v>3.2062214339313652E-3</v>
      </c>
      <c r="ES5" s="1">
        <v>1.4449884400924793E-2</v>
      </c>
      <c r="ET5" s="1">
        <v>1.0758454268190432E-2</v>
      </c>
      <c r="EU5" s="1">
        <v>4.3437893759533204E-3</v>
      </c>
      <c r="EV5" s="1">
        <v>1.555019974248089E-2</v>
      </c>
      <c r="EW5" s="1">
        <v>3.5760728218451492E-4</v>
      </c>
      <c r="EX5" s="1">
        <v>3.0515745344642825E-2</v>
      </c>
      <c r="EY5" s="1">
        <v>-6.2125512456639139E-3</v>
      </c>
      <c r="EZ5" s="1">
        <v>2.7004728207406438E-2</v>
      </c>
      <c r="FA5" s="1">
        <v>-5.5308367321714362E-3</v>
      </c>
      <c r="FB5" s="1">
        <v>-3.0386826161255334E-2</v>
      </c>
      <c r="FC5" s="1">
        <v>-4.5118082481494487E-2</v>
      </c>
      <c r="FD5" s="1">
        <v>1.0302359139568418E-2</v>
      </c>
      <c r="FE5" s="1">
        <v>-2.3550122899089799E-2</v>
      </c>
      <c r="FF5" s="1">
        <v>-7.0075177739225159E-3</v>
      </c>
      <c r="FG5" s="1">
        <v>3.0797163509300646E-2</v>
      </c>
      <c r="FH5" s="1">
        <v>9.4051179793952847E-3</v>
      </c>
      <c r="FI5" s="1">
        <v>1.2247720014486452E-2</v>
      </c>
      <c r="FJ5" s="1">
        <v>-2.5922914295007222E-2</v>
      </c>
      <c r="FK5" s="1">
        <v>4.1739014291438488E-3</v>
      </c>
      <c r="FL5" s="1">
        <v>1.8554849865327648E-2</v>
      </c>
      <c r="FM5" s="1">
        <v>1.4364532662988401E-2</v>
      </c>
      <c r="FN5" s="1">
        <v>5.7931833542533822E-4</v>
      </c>
      <c r="FO5" s="1">
        <v>9.2958924378397072E-3</v>
      </c>
      <c r="FP5" s="1">
        <v>1.4914908534642128E-2</v>
      </c>
      <c r="FQ5" s="1">
        <v>6.6884381083966455E-3</v>
      </c>
      <c r="FR5" s="1">
        <v>-2.5047568545494163E-2</v>
      </c>
      <c r="FS5" s="1">
        <v>7.6465318658817073E-3</v>
      </c>
      <c r="FT5" s="1">
        <v>2.1971741546277238E-2</v>
      </c>
      <c r="FU5" s="1">
        <v>-1.6776959642092163E-3</v>
      </c>
      <c r="FV5" s="1">
        <v>1.8641272212367378E-2</v>
      </c>
      <c r="FW5" s="1">
        <v>2.3585482097030513E-2</v>
      </c>
      <c r="FX5" s="1">
        <v>-1.8027698185291367E-2</v>
      </c>
      <c r="FY5" s="1">
        <v>-1.39817629179332E-2</v>
      </c>
      <c r="FZ5" s="1">
        <v>-4.6393341553637349E-2</v>
      </c>
      <c r="GA5" s="1">
        <v>6.7884273476637961E-4</v>
      </c>
      <c r="GB5" s="1">
        <v>1.9543868716888523E-2</v>
      </c>
      <c r="GC5" s="1">
        <v>1.6919615981749549E-2</v>
      </c>
      <c r="GD5" s="1">
        <v>-1.5267175572519368E-3</v>
      </c>
      <c r="GE5" s="1">
        <v>8.5190039318480265E-3</v>
      </c>
      <c r="GF5" s="1">
        <v>-1.9214703425229678E-2</v>
      </c>
      <c r="GG5" s="1">
        <v>-1.4354217931730744E-2</v>
      </c>
      <c r="GH5" s="1">
        <v>1.4435233492302246E-2</v>
      </c>
      <c r="GI5" s="1">
        <v>-1.7037925159336799E-3</v>
      </c>
      <c r="GJ5" s="1">
        <v>-7.616940581542251E-3</v>
      </c>
      <c r="GK5" s="1">
        <v>6.6881110863396777E-4</v>
      </c>
      <c r="GL5" s="1">
        <v>-2.3583704646721732E-2</v>
      </c>
      <c r="GM5" s="1">
        <v>3.1845888066755701E-2</v>
      </c>
      <c r="GN5" s="1">
        <v>4.3909527419762019E-3</v>
      </c>
      <c r="GO5" s="1">
        <v>1.1888661739267274E-2</v>
      </c>
      <c r="GP5" s="1">
        <v>2.6233176887452202E-2</v>
      </c>
      <c r="GQ5" s="1">
        <v>2.910621800890437E-2</v>
      </c>
      <c r="GR5" s="1">
        <v>1.6186944493495791E-2</v>
      </c>
      <c r="GS5" s="1">
        <v>5.3290083410566262E-3</v>
      </c>
      <c r="GT5" s="1">
        <v>1.3194284397326526E-2</v>
      </c>
      <c r="GU5" s="1">
        <v>2.1552459482513463E-2</v>
      </c>
      <c r="GV5" s="1">
        <v>-6.401692273435634E-3</v>
      </c>
      <c r="GW5" s="1">
        <v>-1.7059779259342347E-2</v>
      </c>
      <c r="GX5" s="1">
        <v>-1.567442788338258E-3</v>
      </c>
      <c r="GY5" s="1">
        <v>1.4928355311982699E-2</v>
      </c>
      <c r="GZ5" s="1">
        <v>1.3190089152628169E-2</v>
      </c>
      <c r="HA5" s="1">
        <v>-1.0159329373230356E-2</v>
      </c>
      <c r="HB5" s="1">
        <v>3.7577117218170917E-3</v>
      </c>
      <c r="HC5" s="1">
        <v>1.9779851371738235E-2</v>
      </c>
      <c r="HD5" s="1">
        <v>-3.1779080598322508E-3</v>
      </c>
      <c r="HE5" s="1">
        <v>4.4797449568515233E-3</v>
      </c>
      <c r="HF5" s="1">
        <v>2.0164710388793139E-2</v>
      </c>
      <c r="HG5" s="1">
        <v>5.766239339162091E-3</v>
      </c>
      <c r="HH5" s="1">
        <v>1.3279645876110019E-2</v>
      </c>
      <c r="HI5" s="1">
        <v>5.2369799205242481E-3</v>
      </c>
      <c r="HJ5" s="1">
        <v>-3.0525158385255838E-2</v>
      </c>
      <c r="HK5" s="1">
        <v>4.9686757399007124E-3</v>
      </c>
      <c r="HL5" s="1">
        <v>1.2172184006878688E-2</v>
      </c>
      <c r="HM5" s="1">
        <v>-2.4157795534790545E-3</v>
      </c>
      <c r="HN5" s="1">
        <v>-9.101069774868166E-3</v>
      </c>
      <c r="HO5">
        <v>1.3427865506499086E-3</v>
      </c>
      <c r="HP5">
        <v>-2.2260365820952659E-3</v>
      </c>
      <c r="HQ5">
        <v>6.5048517592667691E-3</v>
      </c>
      <c r="HR5">
        <v>-2.6171718520495695E-3</v>
      </c>
      <c r="HS5">
        <v>-1.8877018234396366E-2</v>
      </c>
      <c r="HT5">
        <v>6.0859123410293139E-3</v>
      </c>
      <c r="HU5">
        <v>-2.232469822324688E-2</v>
      </c>
      <c r="HV5">
        <v>1.0460018866877481E-2</v>
      </c>
      <c r="HW5">
        <v>-8.7866223674453771E-4</v>
      </c>
      <c r="HX5">
        <v>-1.6654299612498976E-2</v>
      </c>
      <c r="HY5">
        <v>-1.6433302590760448E-2</v>
      </c>
      <c r="HZ5">
        <v>-1.8497996760719435E-2</v>
      </c>
      <c r="IA5">
        <v>-2.0757338891783959E-2</v>
      </c>
      <c r="IB5">
        <v>2.4804138950480375E-2</v>
      </c>
      <c r="IC5">
        <v>3.2454419570736213E-2</v>
      </c>
      <c r="ID5">
        <v>-9.7795411998099976E-3</v>
      </c>
      <c r="IE5">
        <v>-7.2518976269081896E-3</v>
      </c>
      <c r="IF5">
        <v>-3.4392587118412246E-3</v>
      </c>
      <c r="IG5">
        <v>-1.0410427540572243E-2</v>
      </c>
    </row>
    <row r="6" spans="1:241">
      <c r="HM6" s="1"/>
      <c r="HN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2"/>
  <dimension ref="A1:F6"/>
  <sheetViews>
    <sheetView workbookViewId="0">
      <selection activeCell="B2" sqref="B2:E5"/>
    </sheetView>
  </sheetViews>
  <sheetFormatPr defaultColWidth="9.15234375" defaultRowHeight="14.6"/>
  <sheetData>
    <row r="1" spans="1:6">
      <c r="B1" t="s">
        <v>20</v>
      </c>
      <c r="C1" t="s">
        <v>0</v>
      </c>
      <c r="D1" t="s">
        <v>2</v>
      </c>
      <c r="E1" t="s">
        <v>3</v>
      </c>
    </row>
    <row r="2" spans="1:6">
      <c r="A2" t="s">
        <v>20</v>
      </c>
      <c r="B2" s="9">
        <v>6.9780601363656945E-4</v>
      </c>
      <c r="C2" s="9">
        <v>2.4100272416138307E-4</v>
      </c>
      <c r="D2" s="9">
        <v>1.7238109378702832E-4</v>
      </c>
      <c r="E2" s="9">
        <v>3.3875539398149502E-5</v>
      </c>
      <c r="F2" s="9"/>
    </row>
    <row r="3" spans="1:6">
      <c r="A3" t="s">
        <v>0</v>
      </c>
      <c r="B3" s="9">
        <v>2.4100272416138307E-4</v>
      </c>
      <c r="C3" s="9">
        <v>5.9504921672954723E-4</v>
      </c>
      <c r="D3" s="9">
        <v>2.1869839482111645E-4</v>
      </c>
      <c r="E3" s="9">
        <v>-7.0599633002462275E-5</v>
      </c>
      <c r="F3" s="9"/>
    </row>
    <row r="4" spans="1:6">
      <c r="A4" t="s">
        <v>2</v>
      </c>
      <c r="B4" s="9">
        <v>1.7238109378702832E-4</v>
      </c>
      <c r="C4" s="9">
        <v>2.1869839482111645E-4</v>
      </c>
      <c r="D4" s="9">
        <v>3.2361340232594084E-4</v>
      </c>
      <c r="E4" s="9">
        <v>2.930284480956636E-5</v>
      </c>
      <c r="F4" s="9"/>
    </row>
    <row r="5" spans="1:6">
      <c r="A5" t="s">
        <v>3</v>
      </c>
      <c r="B5" s="9">
        <v>3.3875539398149502E-5</v>
      </c>
      <c r="C5" s="9">
        <v>-7.0599633002462275E-5</v>
      </c>
      <c r="D5" s="9">
        <v>2.930284480956636E-5</v>
      </c>
      <c r="E5" s="9">
        <v>4.0215183676218998E-4</v>
      </c>
      <c r="F5" s="9"/>
    </row>
    <row r="6" spans="1:6">
      <c r="B6" s="9"/>
      <c r="C6" s="9"/>
      <c r="D6" s="9"/>
      <c r="E6" s="9"/>
      <c r="F6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Lapa6"/>
  <dimension ref="A1:I203"/>
  <sheetViews>
    <sheetView workbookViewId="0">
      <selection activeCell="A11" sqref="A11"/>
    </sheetView>
  </sheetViews>
  <sheetFormatPr defaultColWidth="9.15234375" defaultRowHeight="14.6"/>
  <cols>
    <col min="1" max="1" width="24.15234375" style="1" bestFit="1" customWidth="1"/>
    <col min="2" max="2" width="13" customWidth="1"/>
    <col min="3" max="3" width="12" bestFit="1" customWidth="1"/>
    <col min="4" max="4" width="12.53515625" bestFit="1" customWidth="1"/>
    <col min="5" max="5" width="6.3828125" customWidth="1"/>
    <col min="6" max="6" width="16.15234375" bestFit="1" customWidth="1"/>
    <col min="7" max="7" width="14.3046875" style="11" bestFit="1" customWidth="1"/>
    <col min="8" max="8" width="12.69140625" bestFit="1" customWidth="1"/>
    <col min="9" max="9" width="12.53515625" style="1" bestFit="1" customWidth="1"/>
  </cols>
  <sheetData>
    <row r="1" spans="1:9">
      <c r="A1" s="1" t="s">
        <v>19</v>
      </c>
      <c r="B1" t="s">
        <v>8</v>
      </c>
      <c r="C1" s="8" t="s">
        <v>6</v>
      </c>
      <c r="D1" s="8" t="s">
        <v>12</v>
      </c>
      <c r="F1" t="s">
        <v>23</v>
      </c>
      <c r="G1" s="1" t="s">
        <v>19</v>
      </c>
      <c r="H1" s="8" t="s">
        <v>6</v>
      </c>
      <c r="I1" s="1" t="s">
        <v>12</v>
      </c>
    </row>
    <row r="2" spans="1:9">
      <c r="A2" s="56">
        <v>0.20136849060279488</v>
      </c>
      <c r="B2" s="42">
        <v>1E-3</v>
      </c>
      <c r="C2" s="43">
        <v>3.3772538731269703</v>
      </c>
      <c r="D2" s="44">
        <v>0.68007251481402098</v>
      </c>
      <c r="G2" s="54">
        <v>0.41008688016859701</v>
      </c>
      <c r="H2" s="55">
        <v>3.3188436380185502</v>
      </c>
      <c r="I2" s="34">
        <v>1.3610142332824235</v>
      </c>
    </row>
    <row r="3" spans="1:9">
      <c r="A3" s="57">
        <v>0.20137687106529681</v>
      </c>
      <c r="B3" s="45">
        <v>2E-3</v>
      </c>
      <c r="C3" s="46">
        <v>3.3877418438494802</v>
      </c>
      <c r="D3" s="47">
        <v>0.68221285249138763</v>
      </c>
      <c r="G3" s="54">
        <v>0.37869098382694677</v>
      </c>
      <c r="H3" s="55">
        <v>1.7890789173657449</v>
      </c>
      <c r="I3" s="34">
        <v>0.67750805536128278</v>
      </c>
    </row>
    <row r="4" spans="1:9">
      <c r="A4" s="57">
        <v>0.20138864281659735</v>
      </c>
      <c r="B4" s="45">
        <v>3.0000000000000001E-3</v>
      </c>
      <c r="C4" s="46">
        <v>3.3965765328925959</v>
      </c>
      <c r="D4" s="47">
        <v>0.68403193818194363</v>
      </c>
      <c r="G4" s="54">
        <v>0.27926838338872473</v>
      </c>
      <c r="H4" s="55">
        <v>2.4380692368370878</v>
      </c>
      <c r="I4" s="34">
        <v>0.6808756543612754</v>
      </c>
    </row>
    <row r="5" spans="1:9">
      <c r="A5" s="57">
        <v>0.20140476437370203</v>
      </c>
      <c r="B5" s="45">
        <v>4.0000000000000001E-3</v>
      </c>
      <c r="C5" s="46">
        <v>3.4053155062919256</v>
      </c>
      <c r="D5" s="47">
        <v>0.6858467671628391</v>
      </c>
      <c r="G5" s="54">
        <v>0.31131751100715133</v>
      </c>
      <c r="H5" s="55">
        <v>1.7616891535943913</v>
      </c>
      <c r="I5" s="34">
        <v>0.54844468246530098</v>
      </c>
    </row>
    <row r="6" spans="1:9">
      <c r="A6" s="57">
        <v>0.20142175067010892</v>
      </c>
      <c r="B6" s="45">
        <v>5.0000000000000001E-3</v>
      </c>
      <c r="C6" s="46">
        <v>3.4125148843304736</v>
      </c>
      <c r="D6" s="47">
        <v>0.68735472218964833</v>
      </c>
      <c r="G6" s="54"/>
      <c r="H6" s="55"/>
      <c r="I6" s="34"/>
    </row>
    <row r="7" spans="1:9">
      <c r="A7" s="57">
        <v>0.20145064650507197</v>
      </c>
      <c r="B7" s="45">
        <v>6.0000000000000001E-3</v>
      </c>
      <c r="C7" s="46">
        <v>3.4226776069302618</v>
      </c>
      <c r="D7" s="47">
        <v>0.68950061669453389</v>
      </c>
      <c r="G7" s="54"/>
      <c r="H7" s="55"/>
      <c r="I7" s="34"/>
    </row>
    <row r="8" spans="1:9">
      <c r="A8" s="57">
        <v>0.20147882054951374</v>
      </c>
      <c r="B8" s="45">
        <v>7.0000000000000001E-3</v>
      </c>
      <c r="C8" s="46">
        <v>3.4308544442124038</v>
      </c>
      <c r="D8" s="47">
        <v>0.69124450689697259</v>
      </c>
      <c r="G8" s="54"/>
      <c r="H8" s="55"/>
      <c r="I8" s="34"/>
    </row>
    <row r="9" spans="1:9">
      <c r="A9" s="57">
        <v>0.20151020712564044</v>
      </c>
      <c r="B9" s="45">
        <v>8.0000000000000002E-3</v>
      </c>
      <c r="C9" s="46">
        <v>3.4387516996863701</v>
      </c>
      <c r="D9" s="47">
        <v>0.69294356725744854</v>
      </c>
      <c r="G9" s="54"/>
      <c r="H9" s="55"/>
      <c r="I9" s="34"/>
    </row>
    <row r="10" spans="1:9">
      <c r="A10" s="57">
        <v>0.20155868636673901</v>
      </c>
      <c r="B10" s="45">
        <v>9.0000000000000011E-3</v>
      </c>
      <c r="C10" s="46">
        <v>3.4493384828818345</v>
      </c>
      <c r="D10" s="47">
        <v>0.69524413344390312</v>
      </c>
      <c r="G10" s="54"/>
      <c r="H10" s="55"/>
      <c r="I10" s="34"/>
    </row>
    <row r="11" spans="1:9">
      <c r="A11" s="57">
        <v>0.20159593704897394</v>
      </c>
      <c r="B11" s="45">
        <v>1.0000000000000002E-2</v>
      </c>
      <c r="C11" s="46">
        <v>3.4565479491898743</v>
      </c>
      <c r="D11" s="47">
        <v>0.69682602277164185</v>
      </c>
      <c r="G11" s="54"/>
      <c r="H11" s="55"/>
      <c r="I11" s="34"/>
    </row>
    <row r="12" spans="1:9">
      <c r="A12" s="57">
        <v>0.20165518395857232</v>
      </c>
      <c r="B12" s="45">
        <v>1.1000000000000003E-2</v>
      </c>
      <c r="C12" s="46">
        <v>3.4667439370922182</v>
      </c>
      <c r="D12" s="47">
        <v>0.69908688637159644</v>
      </c>
      <c r="G12" s="54"/>
      <c r="H12" s="55"/>
      <c r="I12" s="34"/>
    </row>
    <row r="13" spans="1:9">
      <c r="A13" s="57">
        <v>0.2017080865841136</v>
      </c>
      <c r="B13" s="45">
        <v>1.2000000000000004E-2</v>
      </c>
      <c r="C13" s="46">
        <v>3.4749421597309613</v>
      </c>
      <c r="D13" s="47">
        <v>0.70092393402979947</v>
      </c>
      <c r="G13" s="54"/>
      <c r="H13" s="55"/>
      <c r="I13" s="34"/>
    </row>
    <row r="14" spans="1:9">
      <c r="A14" s="57">
        <v>0.20175348239613244</v>
      </c>
      <c r="B14" s="45">
        <v>1.3000000000000005E-2</v>
      </c>
      <c r="C14" s="46">
        <v>3.4813983713436278</v>
      </c>
      <c r="D14" s="47">
        <v>0.70238424502680075</v>
      </c>
      <c r="G14" s="54"/>
      <c r="H14" s="55"/>
      <c r="I14" s="34"/>
    </row>
    <row r="15" spans="1:9">
      <c r="A15" s="57">
        <v>0.20182968893877568</v>
      </c>
      <c r="B15" s="45">
        <v>1.4000000000000005E-2</v>
      </c>
      <c r="C15" s="46">
        <v>3.4913268534484718</v>
      </c>
      <c r="D15" s="47">
        <v>0.70465341281509952</v>
      </c>
      <c r="G15" s="54"/>
      <c r="H15" s="55"/>
      <c r="I15" s="34"/>
    </row>
    <row r="16" spans="1:9">
      <c r="A16" s="57">
        <v>0.20188036749083751</v>
      </c>
      <c r="B16" s="45">
        <v>1.5000000000000006E-2</v>
      </c>
      <c r="C16" s="46">
        <v>3.4974674451826679</v>
      </c>
      <c r="D16" s="47">
        <v>0.7060700131207176</v>
      </c>
      <c r="G16" s="54"/>
      <c r="H16" s="55"/>
      <c r="I16" s="34"/>
    </row>
    <row r="17" spans="1:9">
      <c r="A17" s="57">
        <v>0.20197874152080453</v>
      </c>
      <c r="B17" s="45">
        <v>1.6000000000000007E-2</v>
      </c>
      <c r="C17" s="46">
        <v>3.5083953890617448</v>
      </c>
      <c r="D17" s="47">
        <v>0.70862128544008463</v>
      </c>
      <c r="G17" s="54"/>
      <c r="H17" s="55"/>
      <c r="I17" s="34"/>
    </row>
    <row r="18" spans="1:9">
      <c r="A18" s="57">
        <v>0.202026578543472</v>
      </c>
      <c r="B18" s="45">
        <v>1.7000000000000008E-2</v>
      </c>
      <c r="C18" s="46">
        <v>3.5132995938973779</v>
      </c>
      <c r="D18" s="47">
        <v>0.70977989635325689</v>
      </c>
      <c r="G18" s="54"/>
      <c r="H18" s="55"/>
      <c r="I18" s="34"/>
    </row>
    <row r="19" spans="1:9">
      <c r="A19" s="57">
        <v>0.20213746461499479</v>
      </c>
      <c r="B19" s="45">
        <v>1.8000000000000009E-2</v>
      </c>
      <c r="C19" s="46">
        <v>3.5240446886097074</v>
      </c>
      <c r="D19" s="47">
        <v>0.71234145854550512</v>
      </c>
      <c r="G19" s="54"/>
      <c r="H19" s="55"/>
      <c r="I19" s="34"/>
    </row>
    <row r="20" spans="1:9">
      <c r="A20" s="57">
        <v>0.20222253030104909</v>
      </c>
      <c r="B20" s="45">
        <v>1.900000000000001E-2</v>
      </c>
      <c r="C20" s="46">
        <v>3.5316482226659129</v>
      </c>
      <c r="D20" s="47">
        <v>0.71417883972070373</v>
      </c>
      <c r="G20" s="54"/>
      <c r="H20" s="55"/>
      <c r="I20" s="34"/>
    </row>
    <row r="21" spans="1:9">
      <c r="A21" s="57">
        <v>0.2023056625281556</v>
      </c>
      <c r="B21" s="45">
        <v>2.0000000000000011E-2</v>
      </c>
      <c r="C21" s="46">
        <v>3.5386465304762407</v>
      </c>
      <c r="D21" s="47">
        <v>0.71588823080095509</v>
      </c>
      <c r="G21" s="54"/>
      <c r="H21" s="55"/>
      <c r="I21" s="34"/>
    </row>
    <row r="22" spans="1:9">
      <c r="A22" s="57">
        <v>0.20240460695709342</v>
      </c>
      <c r="B22" s="45">
        <v>2.1000000000000012E-2</v>
      </c>
      <c r="C22" s="46">
        <v>3.5464866748117885</v>
      </c>
      <c r="D22" s="47">
        <v>0.71782524149384919</v>
      </c>
      <c r="G22" s="54"/>
      <c r="H22" s="55"/>
      <c r="I22" s="34"/>
    </row>
    <row r="23" spans="1:9">
      <c r="A23" s="57">
        <v>0.20248304866422803</v>
      </c>
      <c r="B23" s="45">
        <v>2.2000000000000013E-2</v>
      </c>
      <c r="C23" s="46">
        <v>3.5523935787589478</v>
      </c>
      <c r="D23" s="47">
        <v>0.71929948188233928</v>
      </c>
      <c r="G23" s="54"/>
      <c r="H23" s="55"/>
      <c r="I23" s="34"/>
    </row>
    <row r="24" spans="1:9">
      <c r="A24" s="57">
        <v>0.20261053696719666</v>
      </c>
      <c r="B24" s="45">
        <v>2.3000000000000013E-2</v>
      </c>
      <c r="C24" s="46">
        <v>3.5614458458629703</v>
      </c>
      <c r="D24" s="47">
        <v>0.7215864552098884</v>
      </c>
      <c r="G24" s="54"/>
      <c r="H24" s="55"/>
      <c r="I24" s="34"/>
    </row>
    <row r="25" spans="1:9">
      <c r="A25" s="57">
        <v>0.2026876395122664</v>
      </c>
      <c r="B25" s="45">
        <v>2.4000000000000014E-2</v>
      </c>
      <c r="C25" s="46">
        <v>3.5666517696585252</v>
      </c>
      <c r="D25" s="47">
        <v>0.72291622815433421</v>
      </c>
      <c r="G25" s="54"/>
      <c r="H25" s="55"/>
      <c r="I25" s="34"/>
    </row>
    <row r="26" spans="1:9">
      <c r="A26" s="57">
        <v>0.20279992204388578</v>
      </c>
      <c r="B26" s="45">
        <v>2.5000000000000015E-2</v>
      </c>
      <c r="C26" s="46">
        <v>3.5738756756329124</v>
      </c>
      <c r="D26" s="47">
        <v>0.72478170841289424</v>
      </c>
      <c r="G26" s="54"/>
      <c r="H26" s="55"/>
      <c r="I26" s="34"/>
    </row>
    <row r="27" spans="1:9">
      <c r="A27" s="57">
        <v>0.2029277693244971</v>
      </c>
      <c r="B27" s="45">
        <v>2.6000000000000016E-2</v>
      </c>
      <c r="C27" s="46">
        <v>3.5816841432900604</v>
      </c>
      <c r="D27" s="47">
        <v>0.72682317362277438</v>
      </c>
      <c r="G27" s="54"/>
      <c r="H27" s="55"/>
      <c r="I27" s="34"/>
    </row>
    <row r="28" spans="1:9">
      <c r="A28" s="57">
        <v>0.20304392416285061</v>
      </c>
      <c r="B28" s="45">
        <v>2.7000000000000017E-2</v>
      </c>
      <c r="C28" s="46">
        <v>3.5884096438374549</v>
      </c>
      <c r="D28" s="47">
        <v>0.72860477558857395</v>
      </c>
      <c r="G28" s="54"/>
      <c r="H28" s="55"/>
      <c r="I28" s="34"/>
    </row>
    <row r="29" spans="1:9">
      <c r="A29" s="57">
        <v>0.20317552057533769</v>
      </c>
      <c r="B29" s="45">
        <v>2.8000000000000018E-2</v>
      </c>
      <c r="C29" s="46">
        <v>3.5956771173255695</v>
      </c>
      <c r="D29" s="47">
        <v>0.73055357013345223</v>
      </c>
      <c r="G29" s="54"/>
      <c r="H29" s="55"/>
      <c r="I29" s="34"/>
    </row>
    <row r="30" spans="1:9">
      <c r="A30" s="57">
        <v>0.2033207694327594</v>
      </c>
      <c r="B30" s="45">
        <v>2.9000000000000019E-2</v>
      </c>
      <c r="C30" s="46">
        <v>3.6032880468550239</v>
      </c>
      <c r="D30" s="47">
        <v>0.73262329817442828</v>
      </c>
      <c r="G30" s="54"/>
      <c r="H30" s="55"/>
      <c r="I30" s="34"/>
    </row>
    <row r="31" spans="1:9">
      <c r="A31" s="57">
        <v>0.203473863429317</v>
      </c>
      <c r="B31" s="45">
        <v>3.000000000000002E-2</v>
      </c>
      <c r="C31" s="46">
        <v>3.6108998368231076</v>
      </c>
      <c r="D31" s="47">
        <v>0.73472374025468801</v>
      </c>
      <c r="G31" s="54"/>
      <c r="H31" s="55"/>
      <c r="I31" s="34"/>
    </row>
    <row r="32" spans="1:9">
      <c r="A32" s="57">
        <v>0.2035931240125691</v>
      </c>
      <c r="B32" s="45">
        <v>3.1000000000000021E-2</v>
      </c>
      <c r="C32" s="46">
        <v>3.6165900274521205</v>
      </c>
      <c r="D32" s="47">
        <v>0.73631286196168022</v>
      </c>
      <c r="G32" s="54"/>
      <c r="H32" s="55"/>
      <c r="I32" s="34"/>
    </row>
    <row r="33" spans="1:9">
      <c r="A33" s="57">
        <v>0.20372063628477347</v>
      </c>
      <c r="B33" s="45">
        <v>3.2000000000000021E-2</v>
      </c>
      <c r="C33" s="46">
        <v>3.6223951684193079</v>
      </c>
      <c r="D33" s="47">
        <v>0.73795664858527055</v>
      </c>
      <c r="G33" s="54"/>
      <c r="H33" s="55"/>
      <c r="I33" s="34"/>
    </row>
    <row r="34" spans="1:9">
      <c r="A34" s="57">
        <v>0.20388706187555436</v>
      </c>
      <c r="B34" s="45">
        <v>3.3000000000000022E-2</v>
      </c>
      <c r="C34" s="46">
        <v>3.6297118991462196</v>
      </c>
      <c r="D34" s="47">
        <v>0.74005129457166119</v>
      </c>
      <c r="G34" s="54"/>
      <c r="H34" s="55"/>
      <c r="I34" s="34"/>
    </row>
    <row r="35" spans="1:9">
      <c r="A35" s="57">
        <v>0.2040475909327894</v>
      </c>
      <c r="B35" s="45">
        <v>3.4000000000000023E-2</v>
      </c>
      <c r="C35" s="46">
        <v>3.6364087312734816</v>
      </c>
      <c r="D35" s="47">
        <v>0.74200044126331499</v>
      </c>
      <c r="G35" s="54"/>
      <c r="H35" s="55"/>
      <c r="I35" s="34"/>
    </row>
    <row r="36" spans="1:9">
      <c r="A36" s="57">
        <v>0.20419953646153727</v>
      </c>
      <c r="B36" s="45">
        <v>3.5000000000000024E-2</v>
      </c>
      <c r="C36" s="46">
        <v>3.6424990729648874</v>
      </c>
      <c r="D36" s="47">
        <v>0.74379662226100929</v>
      </c>
      <c r="G36" s="54"/>
      <c r="H36" s="55"/>
      <c r="I36" s="34"/>
    </row>
    <row r="37" spans="1:9">
      <c r="A37" s="57">
        <v>0.20436142624342152</v>
      </c>
      <c r="B37" s="45">
        <v>3.6000000000000025E-2</v>
      </c>
      <c r="C37" s="46">
        <v>3.6487264607287173</v>
      </c>
      <c r="D37" s="47">
        <v>0.74565894348663231</v>
      </c>
      <c r="G37" s="54"/>
      <c r="H37" s="55"/>
      <c r="I37" s="34"/>
    </row>
    <row r="38" spans="1:9">
      <c r="A38" s="57">
        <v>0.20452104449654715</v>
      </c>
      <c r="B38" s="45">
        <v>3.7000000000000026E-2</v>
      </c>
      <c r="C38" s="46">
        <v>3.6546198197727859</v>
      </c>
      <c r="D38" s="47">
        <v>0.7474466627777131</v>
      </c>
      <c r="G38" s="54"/>
      <c r="H38" s="55"/>
      <c r="I38" s="34"/>
    </row>
    <row r="39" spans="1:9">
      <c r="A39" s="57">
        <v>0.2047187666607331</v>
      </c>
      <c r="B39" s="45">
        <v>3.8000000000000027E-2</v>
      </c>
      <c r="C39" s="46">
        <v>3.6616013036098738</v>
      </c>
      <c r="D39" s="47">
        <v>0.74959850287834595</v>
      </c>
      <c r="G39" s="54"/>
      <c r="H39" s="55"/>
      <c r="I39" s="34"/>
    </row>
    <row r="40" spans="1:9">
      <c r="A40" s="57">
        <v>0.20486247478196776</v>
      </c>
      <c r="B40" s="45">
        <v>3.9000000000000028E-2</v>
      </c>
      <c r="C40" s="46">
        <v>3.6664863601340962</v>
      </c>
      <c r="D40" s="47">
        <v>0.75112546949140002</v>
      </c>
      <c r="G40" s="54"/>
      <c r="H40" s="55"/>
      <c r="I40" s="34"/>
    </row>
    <row r="41" spans="1:9">
      <c r="A41" s="57">
        <v>0.20504915446783323</v>
      </c>
      <c r="B41" s="45">
        <v>4.0000000000000029E-2</v>
      </c>
      <c r="C41" s="46">
        <v>3.6726143596813596</v>
      </c>
      <c r="D41" s="47">
        <v>0.75306646913908548</v>
      </c>
      <c r="G41" s="54"/>
      <c r="H41" s="55"/>
      <c r="I41" s="34"/>
    </row>
    <row r="42" spans="1:9">
      <c r="A42" s="57">
        <v>0.20523958190951477</v>
      </c>
      <c r="B42" s="45">
        <v>4.1000000000000029E-2</v>
      </c>
      <c r="C42" s="46">
        <v>3.6786052228601855</v>
      </c>
      <c r="D42" s="47">
        <v>0.75499539794998183</v>
      </c>
      <c r="G42" s="54"/>
      <c r="H42" s="55"/>
      <c r="I42" s="34"/>
    </row>
    <row r="43" spans="1:9">
      <c r="A43" s="57">
        <v>0.20542328672490767</v>
      </c>
      <c r="B43" s="45">
        <v>4.200000000000003E-2</v>
      </c>
      <c r="C43" s="46">
        <v>3.6841636543709817</v>
      </c>
      <c r="D43" s="47">
        <v>0.75681300671333385</v>
      </c>
      <c r="G43" s="54"/>
      <c r="H43" s="55"/>
      <c r="I43" s="34"/>
    </row>
    <row r="44" spans="1:9">
      <c r="A44" s="57">
        <v>0.20556728103811683</v>
      </c>
      <c r="B44" s="45">
        <v>4.3000000000000031E-2</v>
      </c>
      <c r="C44" s="46">
        <v>3.6883768574718538</v>
      </c>
      <c r="D44" s="47">
        <v>0.75820960203440269</v>
      </c>
      <c r="G44" s="54"/>
      <c r="H44" s="55"/>
      <c r="I44" s="34"/>
    </row>
    <row r="45" spans="1:9">
      <c r="A45" s="57">
        <v>0.20578729066833831</v>
      </c>
      <c r="B45" s="45">
        <v>4.4000000000000032E-2</v>
      </c>
      <c r="C45" s="46">
        <v>3.6945875705808238</v>
      </c>
      <c r="D45" s="47">
        <v>0.76029916628674588</v>
      </c>
      <c r="G45" s="54"/>
      <c r="H45" s="55"/>
      <c r="I45" s="34"/>
    </row>
    <row r="46" spans="1:9">
      <c r="A46" s="57">
        <v>0.20599889392428833</v>
      </c>
      <c r="B46" s="45">
        <v>4.5000000000000033E-2</v>
      </c>
      <c r="C46" s="46">
        <v>3.7003219603395463</v>
      </c>
      <c r="D46" s="47">
        <v>0.76226223099370083</v>
      </c>
      <c r="G46" s="54"/>
      <c r="H46" s="55"/>
      <c r="I46" s="34"/>
    </row>
    <row r="47" spans="1:9">
      <c r="A47" s="57">
        <v>0.20622797105007049</v>
      </c>
      <c r="B47" s="45">
        <v>4.6000000000000034E-2</v>
      </c>
      <c r="C47" s="46">
        <v>3.7062861972936854</v>
      </c>
      <c r="D47" s="47">
        <v>0.76433988259875807</v>
      </c>
      <c r="G47" s="54"/>
      <c r="H47" s="55"/>
      <c r="I47" s="34"/>
    </row>
    <row r="48" spans="1:9">
      <c r="A48" s="57">
        <v>0.20643931447676908</v>
      </c>
      <c r="B48" s="45">
        <v>4.7000000000000035E-2</v>
      </c>
      <c r="C48" s="46">
        <v>3.711576374695662</v>
      </c>
      <c r="D48" s="47">
        <v>0.76621528242034431</v>
      </c>
      <c r="G48" s="54"/>
      <c r="H48" s="55"/>
      <c r="I48" s="34"/>
    </row>
    <row r="49" spans="1:9">
      <c r="A49" s="57">
        <v>0.20665499224170317</v>
      </c>
      <c r="B49" s="45">
        <v>4.8000000000000036E-2</v>
      </c>
      <c r="C49" s="46">
        <v>3.7167777749282416</v>
      </c>
      <c r="D49" s="47">
        <v>0.76809068224193056</v>
      </c>
      <c r="G49" s="54"/>
      <c r="H49" s="55"/>
      <c r="I49" s="34"/>
    </row>
    <row r="50" spans="1:9">
      <c r="A50" s="57">
        <v>0.20682897281243276</v>
      </c>
      <c r="B50" s="45">
        <v>4.9000000000000037E-2</v>
      </c>
      <c r="C50" s="46">
        <v>3.7208389276054943</v>
      </c>
      <c r="D50" s="47">
        <v>0.7695772933971583</v>
      </c>
      <c r="G50" s="54"/>
      <c r="H50" s="55"/>
      <c r="I50" s="34"/>
    </row>
    <row r="51" spans="1:9">
      <c r="A51" s="57">
        <v>0.20706885852185392</v>
      </c>
      <c r="B51" s="45">
        <v>5.0000000000000037E-2</v>
      </c>
      <c r="C51" s="46">
        <v>3.7262423313075388</v>
      </c>
      <c r="D51" s="47">
        <v>0.77158874611966388</v>
      </c>
      <c r="G51" s="54"/>
      <c r="H51" s="55"/>
      <c r="I51" s="34"/>
    </row>
    <row r="52" spans="1:9">
      <c r="A52" s="57">
        <v>0.20730988543351114</v>
      </c>
      <c r="B52" s="45">
        <v>5.1000000000000038E-2</v>
      </c>
      <c r="C52" s="46">
        <v>3.7314571468823652</v>
      </c>
      <c r="D52" s="47">
        <v>0.77356795362023945</v>
      </c>
      <c r="G52" s="54"/>
      <c r="H52" s="55"/>
      <c r="I52" s="34"/>
    </row>
    <row r="53" spans="1:9">
      <c r="A53" s="57">
        <v>0.20754895860777095</v>
      </c>
      <c r="B53" s="45">
        <v>5.2000000000000039E-2</v>
      </c>
      <c r="C53" s="46">
        <v>3.7364522949023016</v>
      </c>
      <c r="D53" s="47">
        <v>0.77549678269458855</v>
      </c>
      <c r="G53" s="54"/>
      <c r="H53" s="55"/>
      <c r="I53" s="34"/>
    </row>
    <row r="54" spans="1:9">
      <c r="A54" s="57">
        <v>0.20779259919636486</v>
      </c>
      <c r="B54" s="45">
        <v>5.300000000000004E-2</v>
      </c>
      <c r="C54" s="46">
        <v>3.7413537093025484</v>
      </c>
      <c r="D54" s="47">
        <v>0.77742561176893743</v>
      </c>
      <c r="G54" s="54"/>
      <c r="H54" s="55"/>
      <c r="I54" s="34"/>
    </row>
    <row r="55" spans="1:9">
      <c r="A55" s="57">
        <v>0.20804079115233215</v>
      </c>
      <c r="B55" s="45">
        <v>5.4000000000000041E-2</v>
      </c>
      <c r="C55" s="46">
        <v>3.7461616855351494</v>
      </c>
      <c r="D55" s="47">
        <v>0.77935444084328664</v>
      </c>
      <c r="G55" s="54"/>
      <c r="H55" s="55"/>
      <c r="I55" s="34"/>
    </row>
    <row r="56" spans="1:9">
      <c r="A56" s="57">
        <v>0.2082940196708537</v>
      </c>
      <c r="B56" s="45">
        <v>5.5000000000000042E-2</v>
      </c>
      <c r="C56" s="46">
        <v>3.7508858479133855</v>
      </c>
      <c r="D56" s="47">
        <v>0.78128709058839751</v>
      </c>
    </row>
    <row r="57" spans="1:9">
      <c r="A57" s="57">
        <v>0.20854564598749431</v>
      </c>
      <c r="B57" s="45">
        <v>5.6000000000000043E-2</v>
      </c>
      <c r="C57" s="46">
        <v>3.7554059024832558</v>
      </c>
      <c r="D57" s="47">
        <v>0.78317354987861965</v>
      </c>
    </row>
    <row r="58" spans="1:9">
      <c r="A58" s="57">
        <v>0.20879765906605799</v>
      </c>
      <c r="B58" s="45">
        <v>5.7000000000000044E-2</v>
      </c>
      <c r="C58" s="46">
        <v>3.7597800342655119</v>
      </c>
      <c r="D58" s="47">
        <v>0.78503326975794219</v>
      </c>
    </row>
    <row r="59" spans="1:9">
      <c r="A59" s="57">
        <v>0.20904867685092784</v>
      </c>
      <c r="B59" s="45">
        <v>5.8000000000000045E-2</v>
      </c>
      <c r="C59" s="46">
        <v>3.7639799388731787</v>
      </c>
      <c r="D59" s="47">
        <v>0.78685502591487422</v>
      </c>
    </row>
    <row r="60" spans="1:9">
      <c r="A60" s="57">
        <v>0.20931499958087138</v>
      </c>
      <c r="B60" s="45">
        <v>5.9000000000000045E-2</v>
      </c>
      <c r="C60" s="46">
        <v>3.7682900779554003</v>
      </c>
      <c r="D60" s="47">
        <v>0.78875963608783639</v>
      </c>
    </row>
    <row r="61" spans="1:9">
      <c r="A61" s="57">
        <v>0.20956259565920202</v>
      </c>
      <c r="B61" s="45">
        <v>6.0000000000000046E-2</v>
      </c>
      <c r="C61" s="46">
        <v>3.7721356511267601</v>
      </c>
      <c r="D61" s="47">
        <v>0.79049853822873783</v>
      </c>
    </row>
    <row r="62" spans="1:9">
      <c r="A62" s="57">
        <v>0.20984236056452241</v>
      </c>
      <c r="B62" s="45">
        <v>6.1000000000000047E-2</v>
      </c>
      <c r="C62" s="46">
        <v>3.7763651665562583</v>
      </c>
      <c r="D62" s="47">
        <v>0.79244138090380112</v>
      </c>
    </row>
    <row r="63" spans="1:9">
      <c r="A63" s="57">
        <v>0.2100978345664862</v>
      </c>
      <c r="B63" s="45">
        <v>6.2000000000000048E-2</v>
      </c>
      <c r="C63" s="46">
        <v>3.7800771940237783</v>
      </c>
      <c r="D63" s="47">
        <v>0.79418603295855517</v>
      </c>
    </row>
    <row r="64" spans="1:9">
      <c r="A64" s="57">
        <v>0.21038499637278121</v>
      </c>
      <c r="B64" s="45">
        <v>6.3000000000000042E-2</v>
      </c>
      <c r="C64" s="46">
        <v>3.7841054470555284</v>
      </c>
      <c r="D64" s="47">
        <v>0.79611901075299896</v>
      </c>
    </row>
    <row r="65" spans="1:4">
      <c r="A65" s="57">
        <v>0.21065192523091825</v>
      </c>
      <c r="B65" s="45">
        <v>6.4000000000000043E-2</v>
      </c>
      <c r="C65" s="46">
        <v>3.7877099204492497</v>
      </c>
      <c r="D65" s="47">
        <v>0.79788838695888264</v>
      </c>
    </row>
    <row r="66" spans="1:4">
      <c r="A66" s="57">
        <v>0.21093201520741933</v>
      </c>
      <c r="B66" s="45">
        <v>6.5000000000000044E-2</v>
      </c>
      <c r="C66" s="46">
        <v>3.7913685166071693</v>
      </c>
      <c r="D66" s="47">
        <v>0.79972100160191428</v>
      </c>
    </row>
    <row r="67" spans="1:4">
      <c r="A67" s="57">
        <v>0.21125179719759177</v>
      </c>
      <c r="B67" s="45">
        <v>6.6000000000000045E-2</v>
      </c>
      <c r="C67" s="46">
        <v>3.7954011558126788</v>
      </c>
      <c r="D67" s="47">
        <v>0.80178531525124552</v>
      </c>
    </row>
    <row r="68" spans="1:4">
      <c r="A68" s="57">
        <v>0.21153665116951456</v>
      </c>
      <c r="B68" s="45">
        <v>6.7000000000000046E-2</v>
      </c>
      <c r="C68" s="46">
        <v>3.7988518706322245</v>
      </c>
      <c r="D68" s="47">
        <v>0.80359640300258672</v>
      </c>
    </row>
    <row r="69" spans="1:4">
      <c r="A69" s="57">
        <v>0.21185709806708325</v>
      </c>
      <c r="B69" s="45">
        <v>6.8000000000000047E-2</v>
      </c>
      <c r="C69" s="46">
        <v>3.8025904959715007</v>
      </c>
      <c r="D69" s="47">
        <v>0.80560578761399293</v>
      </c>
    </row>
    <row r="70" spans="1:4">
      <c r="A70" s="57">
        <v>0.21222353462764146</v>
      </c>
      <c r="B70" s="45">
        <v>6.9000000000000047E-2</v>
      </c>
      <c r="C70" s="46">
        <v>3.8066901715289294</v>
      </c>
      <c r="D70" s="47">
        <v>0.80786924343417221</v>
      </c>
    </row>
    <row r="71" spans="1:4">
      <c r="A71" s="57">
        <v>0.21248810617502525</v>
      </c>
      <c r="B71" s="45">
        <v>7.0000000000000048E-2</v>
      </c>
      <c r="C71" s="46">
        <v>3.8095319857527552</v>
      </c>
      <c r="D71" s="47">
        <v>0.8094802370657862</v>
      </c>
    </row>
    <row r="72" spans="1:4">
      <c r="A72" s="57">
        <v>0.21275391648743841</v>
      </c>
      <c r="B72" s="45">
        <v>7.1000000000000049E-2</v>
      </c>
      <c r="C72" s="46">
        <v>3.8123058366883367</v>
      </c>
      <c r="D72" s="47">
        <v>0.81108299760336444</v>
      </c>
    </row>
    <row r="73" spans="1:4">
      <c r="A73" s="57">
        <v>0.21305655552544012</v>
      </c>
      <c r="B73" s="45">
        <v>7.200000000000005E-2</v>
      </c>
      <c r="C73" s="46">
        <v>3.8153578059230489</v>
      </c>
      <c r="D73" s="47">
        <v>0.8128869922270654</v>
      </c>
    </row>
    <row r="74" spans="1:4">
      <c r="A74" s="57">
        <v>0.21329394645047767</v>
      </c>
      <c r="B74" s="45">
        <v>7.3000000000000051E-2</v>
      </c>
      <c r="C74" s="46">
        <v>3.8176727381985915</v>
      </c>
      <c r="D74" s="47">
        <v>0.81428648458677888</v>
      </c>
    </row>
    <row r="75" spans="1:4">
      <c r="A75" s="57">
        <v>0.21363507739916721</v>
      </c>
      <c r="B75" s="45">
        <v>7.4000000000000052E-2</v>
      </c>
      <c r="C75" s="46">
        <v>3.8208872137945518</v>
      </c>
      <c r="D75" s="47">
        <v>0.81627553565248734</v>
      </c>
    </row>
    <row r="76" spans="1:4">
      <c r="A76" s="57">
        <v>0.21408855063671134</v>
      </c>
      <c r="B76" s="45">
        <v>7.5000000000000053E-2</v>
      </c>
      <c r="C76" s="46">
        <v>3.8249608169899934</v>
      </c>
      <c r="D76" s="47">
        <v>0.81888031755159896</v>
      </c>
    </row>
    <row r="77" spans="1:4">
      <c r="A77" s="57">
        <v>0.21436661748380914</v>
      </c>
      <c r="B77" s="45">
        <v>7.6000000000000054E-2</v>
      </c>
      <c r="C77" s="46">
        <v>3.8273503605500938</v>
      </c>
      <c r="D77" s="47">
        <v>0.82045615071656097</v>
      </c>
    </row>
    <row r="78" spans="1:4">
      <c r="A78" s="57">
        <v>0.21466525699163702</v>
      </c>
      <c r="B78" s="45">
        <v>7.7000000000000055E-2</v>
      </c>
      <c r="C78" s="46">
        <v>3.8298294967289701</v>
      </c>
      <c r="D78" s="47">
        <v>0.82213133314947617</v>
      </c>
    </row>
    <row r="79" spans="1:4">
      <c r="A79" s="57">
        <v>0.2150681213973939</v>
      </c>
      <c r="B79" s="45">
        <v>7.8000000000000055E-2</v>
      </c>
      <c r="C79" s="46">
        <v>3.8330558777744077</v>
      </c>
      <c r="D79" s="47">
        <v>0.82436812684418048</v>
      </c>
    </row>
    <row r="80" spans="1:4">
      <c r="A80" s="57">
        <v>0.21549173964898455</v>
      </c>
      <c r="B80" s="45">
        <v>7.9000000000000056E-2</v>
      </c>
      <c r="C80" s="46">
        <v>3.8362763362290546</v>
      </c>
      <c r="D80" s="47">
        <v>0.82668586146823175</v>
      </c>
    </row>
    <row r="81" spans="1:4">
      <c r="A81" s="57">
        <v>0.21565585345046354</v>
      </c>
      <c r="B81" s="45">
        <v>8.0000000000000057E-2</v>
      </c>
      <c r="C81" s="46">
        <v>3.8374811209057555</v>
      </c>
      <c r="D81" s="47">
        <v>0.82757526622897215</v>
      </c>
    </row>
    <row r="82" spans="1:4">
      <c r="A82" s="57">
        <v>0.21606584184211206</v>
      </c>
      <c r="B82" s="45">
        <v>8.1000000000000058E-2</v>
      </c>
      <c r="C82" s="46">
        <v>3.8403855712738015</v>
      </c>
      <c r="D82" s="47">
        <v>0.82977614145557432</v>
      </c>
    </row>
    <row r="83" spans="1:4">
      <c r="A83" s="57">
        <v>0.21643759925078376</v>
      </c>
      <c r="B83" s="45">
        <v>8.2000000000000059E-2</v>
      </c>
      <c r="C83" s="46">
        <v>3.8429112649467725</v>
      </c>
      <c r="D83" s="47">
        <v>0.83175048831887199</v>
      </c>
    </row>
    <row r="84" spans="1:4">
      <c r="A84" s="57">
        <v>0.21675899458683834</v>
      </c>
      <c r="B84" s="45">
        <v>8.300000000000006E-2</v>
      </c>
      <c r="C84" s="46">
        <v>3.8450016750524827</v>
      </c>
      <c r="D84" s="47">
        <v>0.83343869726908537</v>
      </c>
    </row>
    <row r="85" spans="1:4">
      <c r="A85" s="57">
        <v>0.21708342182095661</v>
      </c>
      <c r="B85" s="45">
        <v>8.4000000000000061E-2</v>
      </c>
      <c r="C85" s="46">
        <v>3.8470321649346602</v>
      </c>
      <c r="D85" s="47">
        <v>0.83512690621929875</v>
      </c>
    </row>
    <row r="86" spans="1:4">
      <c r="A86" s="57">
        <v>0.21747395904649111</v>
      </c>
      <c r="B86" s="45">
        <v>8.5000000000000062E-2</v>
      </c>
      <c r="C86" s="46">
        <v>3.8493725669637966</v>
      </c>
      <c r="D86" s="47">
        <v>0.83713829198257106</v>
      </c>
    </row>
    <row r="87" spans="1:4">
      <c r="A87" s="57">
        <v>0.21791591623933965</v>
      </c>
      <c r="B87" s="45">
        <v>8.6000000000000063E-2</v>
      </c>
      <c r="C87" s="46">
        <v>3.8518951313458651</v>
      </c>
      <c r="D87" s="47">
        <v>0.8393892568050858</v>
      </c>
    </row>
    <row r="88" spans="1:4">
      <c r="A88" s="57">
        <v>0.2182709133014695</v>
      </c>
      <c r="B88" s="45">
        <v>8.7000000000000063E-2</v>
      </c>
      <c r="C88" s="46">
        <v>3.8538210616682269</v>
      </c>
      <c r="D88" s="47">
        <v>0.84117704283076278</v>
      </c>
    </row>
    <row r="89" spans="1:4">
      <c r="A89" s="57">
        <v>0.21856629024078311</v>
      </c>
      <c r="B89" s="45">
        <v>8.8000000000000064E-2</v>
      </c>
      <c r="C89" s="46">
        <v>3.8553632932980872</v>
      </c>
      <c r="D89" s="47">
        <v>0.84265245254665111</v>
      </c>
    </row>
    <row r="90" spans="1:4">
      <c r="A90" s="57">
        <v>0.21904621852216408</v>
      </c>
      <c r="B90" s="45">
        <v>8.9000000000000065E-2</v>
      </c>
      <c r="C90" s="46">
        <v>3.8577567026543171</v>
      </c>
      <c r="D90" s="47">
        <v>0.84502701769496069</v>
      </c>
    </row>
    <row r="91" spans="1:4">
      <c r="A91" s="57">
        <v>0.21929412559173003</v>
      </c>
      <c r="B91" s="45">
        <v>9.0000000000000066E-2</v>
      </c>
      <c r="C91" s="46">
        <v>3.8589361225179735</v>
      </c>
      <c r="D91" s="47">
        <v>0.84624202270192028</v>
      </c>
    </row>
    <row r="92" spans="1:4">
      <c r="A92" s="57">
        <v>0.21982131760316662</v>
      </c>
      <c r="B92" s="45">
        <v>9.1000000000000067E-2</v>
      </c>
      <c r="C92" s="46">
        <v>3.8613222082244736</v>
      </c>
      <c r="D92" s="47">
        <v>0.84880093550227276</v>
      </c>
    </row>
    <row r="93" spans="1:4">
      <c r="A93" s="57">
        <v>0.2201016441223273</v>
      </c>
      <c r="B93" s="45">
        <v>9.2000000000000068E-2</v>
      </c>
      <c r="C93" s="46">
        <v>3.86252984268036</v>
      </c>
      <c r="D93" s="47">
        <v>0.85014916884550151</v>
      </c>
    </row>
    <row r="94" spans="1:4">
      <c r="A94" s="57">
        <v>0.22054308231320485</v>
      </c>
      <c r="B94" s="45">
        <v>9.3000000000000069E-2</v>
      </c>
      <c r="C94" s="46">
        <v>3.8643444429824902</v>
      </c>
      <c r="D94" s="47">
        <v>0.85225443457526318</v>
      </c>
    </row>
    <row r="95" spans="1:4">
      <c r="A95" s="57">
        <v>0.22091203331599391</v>
      </c>
      <c r="B95" s="45">
        <v>9.400000000000007E-2</v>
      </c>
      <c r="C95" s="46">
        <v>3.8657816572239874</v>
      </c>
      <c r="D95" s="47">
        <v>0.85399768625302364</v>
      </c>
    </row>
    <row r="96" spans="1:4">
      <c r="A96" s="57">
        <v>0.22132871876229521</v>
      </c>
      <c r="B96" s="45">
        <v>9.500000000000007E-2</v>
      </c>
      <c r="C96" s="46">
        <v>3.8673196219982438</v>
      </c>
      <c r="D96" s="47">
        <v>0.85594889698115506</v>
      </c>
    </row>
    <row r="97" spans="1:4">
      <c r="A97" s="57">
        <v>0.22172511808477002</v>
      </c>
      <c r="B97" s="45">
        <v>9.6000000000000071E-2</v>
      </c>
      <c r="C97" s="46">
        <v>3.8687068505932172</v>
      </c>
      <c r="D97" s="47">
        <v>0.85778948328313975</v>
      </c>
    </row>
    <row r="98" spans="1:4">
      <c r="A98" s="57">
        <v>0.22218256085950269</v>
      </c>
      <c r="B98" s="45">
        <v>9.7000000000000072E-2</v>
      </c>
      <c r="C98" s="46">
        <v>3.8702130506069938</v>
      </c>
      <c r="D98" s="47">
        <v>0.85989384665572999</v>
      </c>
    </row>
    <row r="99" spans="1:4">
      <c r="A99" s="57">
        <v>0.2226239926364266</v>
      </c>
      <c r="B99" s="45">
        <v>9.8000000000000073E-2</v>
      </c>
      <c r="C99" s="46">
        <v>3.8715746525883157</v>
      </c>
      <c r="D99" s="47">
        <v>0.86190540694919715</v>
      </c>
    </row>
    <row r="100" spans="1:4">
      <c r="A100" s="57">
        <v>0.2230694730534169</v>
      </c>
      <c r="B100" s="45">
        <v>9.9000000000000074E-2</v>
      </c>
      <c r="C100" s="46">
        <v>3.8728605730636585</v>
      </c>
      <c r="D100" s="47">
        <v>0.86391696724266454</v>
      </c>
    </row>
    <row r="101" spans="1:4">
      <c r="A101" s="57">
        <v>0.22341622415096979</v>
      </c>
      <c r="B101" s="45">
        <v>0.10000000000000007</v>
      </c>
      <c r="C101" s="46">
        <v>3.8738117639121099</v>
      </c>
      <c r="D101" s="47">
        <v>0.8654723973648516</v>
      </c>
    </row>
    <row r="102" spans="1:4">
      <c r="A102" s="57">
        <v>0.22381699579296926</v>
      </c>
      <c r="B102" s="45">
        <v>0.10100000000000008</v>
      </c>
      <c r="C102" s="46">
        <v>3.8748425625999077</v>
      </c>
      <c r="D102" s="47">
        <v>0.86725562153184177</v>
      </c>
    </row>
    <row r="103" spans="1:4">
      <c r="A103" s="57">
        <v>0.22419949617218216</v>
      </c>
      <c r="B103" s="45">
        <v>0.10200000000000008</v>
      </c>
      <c r="C103" s="46">
        <v>3.875764961444621</v>
      </c>
      <c r="D103" s="47">
        <v>0.86894455163768103</v>
      </c>
    </row>
    <row r="104" spans="1:4">
      <c r="A104" s="57">
        <v>0.22461609207133934</v>
      </c>
      <c r="B104" s="45">
        <v>0.10300000000000008</v>
      </c>
      <c r="C104" s="46">
        <v>3.8767089151588743</v>
      </c>
      <c r="D104" s="47">
        <v>0.87077120662110774</v>
      </c>
    </row>
    <row r="105" spans="1:4">
      <c r="A105" s="57">
        <v>0.22515609333828843</v>
      </c>
      <c r="B105" s="45">
        <v>0.10400000000000008</v>
      </c>
      <c r="C105" s="46">
        <v>3.8778345077948426</v>
      </c>
      <c r="D105" s="47">
        <v>0.8731180683874914</v>
      </c>
    </row>
    <row r="106" spans="1:4">
      <c r="A106" s="57">
        <v>0.22552815371148263</v>
      </c>
      <c r="B106" s="45">
        <v>0.10500000000000008</v>
      </c>
      <c r="C106" s="46">
        <v>3.8785503644206916</v>
      </c>
      <c r="D106" s="47">
        <v>0.87472230276479668</v>
      </c>
    </row>
    <row r="107" spans="1:4">
      <c r="A107" s="57">
        <v>0.22602625811907825</v>
      </c>
      <c r="B107" s="45">
        <v>0.10600000000000008</v>
      </c>
      <c r="C107" s="46">
        <v>3.8794312311572567</v>
      </c>
      <c r="D107" s="47">
        <v>0.87685332480876366</v>
      </c>
    </row>
    <row r="108" spans="1:4">
      <c r="A108" s="57">
        <v>0.22651551516347682</v>
      </c>
      <c r="B108" s="45">
        <v>0.10700000000000008</v>
      </c>
      <c r="C108" s="46">
        <v>3.8802158699636848</v>
      </c>
      <c r="D108" s="47">
        <v>0.87892909673032238</v>
      </c>
    </row>
    <row r="109" spans="1:4">
      <c r="A109" s="57">
        <v>0.22686869650526373</v>
      </c>
      <c r="B109" s="45">
        <v>0.10800000000000008</v>
      </c>
      <c r="C109" s="46">
        <v>3.8807292382670964</v>
      </c>
      <c r="D109" s="47">
        <v>0.88041598377552122</v>
      </c>
    </row>
    <row r="110" spans="1:4">
      <c r="A110" s="57">
        <v>0.22739398425060112</v>
      </c>
      <c r="B110" s="45">
        <v>0.10900000000000008</v>
      </c>
      <c r="C110" s="46">
        <v>3.881426538000686</v>
      </c>
      <c r="D110" s="47">
        <v>0.88261304505199323</v>
      </c>
    </row>
    <row r="111" spans="1:4">
      <c r="A111" s="57">
        <v>0.22779874896840063</v>
      </c>
      <c r="B111" s="45">
        <v>0.11000000000000008</v>
      </c>
      <c r="C111" s="46">
        <v>3.8819117142727442</v>
      </c>
      <c r="D111" s="47">
        <v>0.88429463211711057</v>
      </c>
    </row>
    <row r="112" spans="1:4">
      <c r="A112" s="57">
        <v>0.22825221714779623</v>
      </c>
      <c r="B112" s="45">
        <v>0.11100000000000008</v>
      </c>
      <c r="C112" s="46">
        <v>3.8823887820374932</v>
      </c>
      <c r="D112" s="47">
        <v>0.88616384732979003</v>
      </c>
    </row>
    <row r="113" spans="1:4">
      <c r="A113" s="57">
        <v>0.2286706347246267</v>
      </c>
      <c r="B113" s="45">
        <v>0.11200000000000009</v>
      </c>
      <c r="C113" s="46">
        <v>3.8827840850145892</v>
      </c>
      <c r="D113" s="47">
        <v>0.88787870121896506</v>
      </c>
    </row>
    <row r="114" spans="1:4">
      <c r="A114" s="57">
        <v>0.22911166688260387</v>
      </c>
      <c r="B114" s="45">
        <v>0.11300000000000009</v>
      </c>
      <c r="C114" s="46">
        <v>3.883143689171455</v>
      </c>
      <c r="D114" s="47">
        <v>0.8896735233707358</v>
      </c>
    </row>
    <row r="115" spans="1:4">
      <c r="A115" s="57">
        <v>0.2296307323348119</v>
      </c>
      <c r="B115" s="45">
        <v>0.11400000000000009</v>
      </c>
      <c r="C115" s="46">
        <v>3.8834986857910572</v>
      </c>
      <c r="D115" s="47">
        <v>0.89177064723947996</v>
      </c>
    </row>
    <row r="116" spans="1:4">
      <c r="A116" s="57">
        <v>0.2300299936134455</v>
      </c>
      <c r="B116" s="45">
        <v>0.11500000000000009</v>
      </c>
      <c r="C116" s="46">
        <v>3.8837273151122713</v>
      </c>
      <c r="D116" s="47">
        <v>0.89337376949163971</v>
      </c>
    </row>
    <row r="117" spans="1:4">
      <c r="A117" s="57">
        <v>0.2306123355097108</v>
      </c>
      <c r="B117" s="45">
        <v>0.11600000000000009</v>
      </c>
      <c r="C117" s="46">
        <v>3.8839842688181072</v>
      </c>
      <c r="D117" s="47">
        <v>0.89569468331512014</v>
      </c>
    </row>
    <row r="118" spans="1:4">
      <c r="A118" s="57">
        <v>0.23105063588389571</v>
      </c>
      <c r="B118" s="45">
        <v>0.11700000000000009</v>
      </c>
      <c r="C118" s="46">
        <v>3.8841218802829776</v>
      </c>
      <c r="D118" s="47">
        <v>0.8974288302899347</v>
      </c>
    </row>
    <row r="119" spans="1:4">
      <c r="A119" s="57">
        <v>0.2314552568349115</v>
      </c>
      <c r="B119" s="45">
        <v>0.11800000000000009</v>
      </c>
      <c r="C119" s="46">
        <v>3.8842158664333049</v>
      </c>
      <c r="D119" s="47">
        <v>0.89902218096755881</v>
      </c>
    </row>
    <row r="120" spans="1:4">
      <c r="A120" s="57">
        <v>0.23191740031215879</v>
      </c>
      <c r="B120" s="45">
        <v>0.11900000000000009</v>
      </c>
      <c r="C120" s="46">
        <v>3.8842727918494537</v>
      </c>
      <c r="D120" s="47">
        <v>0.90083044798897638</v>
      </c>
    </row>
    <row r="121" spans="1:4">
      <c r="A121" s="57">
        <v>0.23237993595243175</v>
      </c>
      <c r="B121" s="45">
        <v>0.12000000000000009</v>
      </c>
      <c r="C121" s="46">
        <v>3.8842782689360544</v>
      </c>
      <c r="D121" s="47">
        <v>0.90262833535678277</v>
      </c>
    </row>
    <row r="122" spans="1:4">
      <c r="A122" s="57">
        <v>0.2329419950810952</v>
      </c>
      <c r="B122" s="45">
        <v>0.12100000000000009</v>
      </c>
      <c r="C122" s="46">
        <v>3.8842292328224506</v>
      </c>
      <c r="D122" s="47">
        <v>0.90480010684597345</v>
      </c>
    </row>
    <row r="123" spans="1:4">
      <c r="A123" s="57">
        <v>0.23340800604321932</v>
      </c>
      <c r="B123" s="45">
        <v>0.12200000000000009</v>
      </c>
      <c r="C123" s="46">
        <v>3.884137701232353</v>
      </c>
      <c r="D123" s="47">
        <v>0.90658883604193707</v>
      </c>
    </row>
    <row r="124" spans="1:4">
      <c r="A124" s="57">
        <v>0.23389084820965741</v>
      </c>
      <c r="B124" s="45">
        <v>0.1230000000000001</v>
      </c>
      <c r="C124" s="46">
        <v>3.8839951056748125</v>
      </c>
      <c r="D124" s="47">
        <v>0.90843090970843987</v>
      </c>
    </row>
    <row r="125" spans="1:4">
      <c r="A125" s="57">
        <v>0.23431675585761325</v>
      </c>
      <c r="B125" s="45">
        <v>0.1240000000000001</v>
      </c>
      <c r="C125" s="46">
        <v>3.8838276055153771</v>
      </c>
      <c r="D125" s="47">
        <v>0.91004588483460525</v>
      </c>
    </row>
    <row r="126" spans="1:4">
      <c r="A126" s="57">
        <v>0.23480288174353434</v>
      </c>
      <c r="B126" s="45">
        <v>0.12500000000000008</v>
      </c>
      <c r="C126" s="46">
        <v>3.883602139311817</v>
      </c>
      <c r="D126" s="47">
        <v>0.91188097385576949</v>
      </c>
    </row>
    <row r="127" spans="1:4">
      <c r="A127" s="57">
        <v>0.23541482541365824</v>
      </c>
      <c r="B127" s="45">
        <v>0.12600000000000008</v>
      </c>
      <c r="C127" s="46">
        <v>3.8832509474715273</v>
      </c>
      <c r="D127" s="47">
        <v>0.91417484383643255</v>
      </c>
    </row>
    <row r="128" spans="1:4">
      <c r="A128" s="57">
        <v>0.23596939018200397</v>
      </c>
      <c r="B128" s="45">
        <v>0.12700000000000009</v>
      </c>
      <c r="C128" s="46">
        <v>3.8828736330193001</v>
      </c>
      <c r="D128" s="47">
        <v>0.91623932333734659</v>
      </c>
    </row>
    <row r="129" spans="1:4">
      <c r="A129" s="57">
        <v>0.23648786560291815</v>
      </c>
      <c r="B129" s="45">
        <v>0.12800000000000009</v>
      </c>
      <c r="C129" s="46">
        <v>3.882472522471808</v>
      </c>
      <c r="D129" s="47">
        <v>0.91815764010133549</v>
      </c>
    </row>
    <row r="130" spans="1:4">
      <c r="A130" s="57">
        <v>0.23686518451529917</v>
      </c>
      <c r="B130" s="45">
        <v>0.12900000000000009</v>
      </c>
      <c r="C130" s="46">
        <v>3.8821563055514554</v>
      </c>
      <c r="D130" s="47">
        <v>0.91954766963167756</v>
      </c>
    </row>
    <row r="131" spans="1:4">
      <c r="A131" s="57">
        <v>0.23735890934221493</v>
      </c>
      <c r="B131" s="45">
        <v>0.13000000000000009</v>
      </c>
      <c r="C131" s="46">
        <v>3.8817026620190997</v>
      </c>
      <c r="D131" s="47">
        <v>0.92135671024762578</v>
      </c>
    </row>
    <row r="132" spans="1:4">
      <c r="A132" s="57">
        <v>0.23797758991734147</v>
      </c>
      <c r="B132" s="45">
        <v>0.13100000000000009</v>
      </c>
      <c r="C132" s="46">
        <v>3.8810836677490568</v>
      </c>
      <c r="D132" s="47">
        <v>0.92361093751847656</v>
      </c>
    </row>
    <row r="133" spans="1:4">
      <c r="A133" s="57">
        <v>0.23844983345366952</v>
      </c>
      <c r="B133" s="45">
        <v>0.13200000000000009</v>
      </c>
      <c r="C133" s="46">
        <v>3.8805687115827148</v>
      </c>
      <c r="D133" s="47">
        <v>0.92532096298241917</v>
      </c>
    </row>
    <row r="134" spans="1:4">
      <c r="A134" s="57">
        <v>0.23905672988205676</v>
      </c>
      <c r="B134" s="45">
        <v>0.13300000000000009</v>
      </c>
      <c r="C134" s="46">
        <v>3.8798625886157816</v>
      </c>
      <c r="D134" s="47">
        <v>0.92750726282622042</v>
      </c>
    </row>
    <row r="135" spans="1:4">
      <c r="A135" s="57">
        <v>0.23954988706530325</v>
      </c>
      <c r="B135" s="45">
        <v>0.13400000000000009</v>
      </c>
      <c r="C135" s="46">
        <v>3.8792462558038401</v>
      </c>
      <c r="D135" s="47">
        <v>0.92927300247631039</v>
      </c>
    </row>
    <row r="136" spans="1:4">
      <c r="A136" s="57">
        <v>0.2400394833674015</v>
      </c>
      <c r="B136" s="45">
        <v>0.13500000000000009</v>
      </c>
      <c r="C136" s="46">
        <v>3.8786030716157067</v>
      </c>
      <c r="D136" s="47">
        <v>0.9310178774978507</v>
      </c>
    </row>
    <row r="137" spans="1:4">
      <c r="A137" s="57">
        <v>0.24060768340694358</v>
      </c>
      <c r="B137" s="45">
        <v>0.13600000000000009</v>
      </c>
      <c r="C137" s="46">
        <v>3.8778128589910654</v>
      </c>
      <c r="D137" s="47">
        <v>0.93303156868749704</v>
      </c>
    </row>
    <row r="138" spans="1:4">
      <c r="A138" s="57">
        <v>0.24101193581927766</v>
      </c>
      <c r="B138" s="45">
        <v>0.13700000000000009</v>
      </c>
      <c r="C138" s="46">
        <v>3.8772280662928797</v>
      </c>
      <c r="D138" s="47">
        <v>0.93445824187008153</v>
      </c>
    </row>
    <row r="139" spans="1:4">
      <c r="A139" s="57">
        <v>0.24171085112454987</v>
      </c>
      <c r="B139" s="45">
        <v>0.13800000000000009</v>
      </c>
      <c r="C139" s="46">
        <v>3.8761674058478737</v>
      </c>
      <c r="D139" s="47">
        <v>0.93691172276872814</v>
      </c>
    </row>
    <row r="140" spans="1:4">
      <c r="A140" s="57">
        <v>0.24222750274308397</v>
      </c>
      <c r="B140" s="45">
        <v>0.1390000000000001</v>
      </c>
      <c r="C140" s="46">
        <v>3.8753436113700239</v>
      </c>
      <c r="D140" s="47">
        <v>0.93871480525352535</v>
      </c>
    </row>
    <row r="141" spans="1:4">
      <c r="A141" s="57">
        <v>0.24278693235733376</v>
      </c>
      <c r="B141" s="45">
        <v>0.1400000000000001</v>
      </c>
      <c r="C141" s="46">
        <v>3.8744120289365447</v>
      </c>
      <c r="D141" s="47">
        <v>0.94065661119385724</v>
      </c>
    </row>
    <row r="142" spans="1:4">
      <c r="A142" s="57">
        <v>0.24319121035268959</v>
      </c>
      <c r="B142" s="45">
        <v>0.1410000000000001</v>
      </c>
      <c r="C142" s="46">
        <v>3.8737204222601593</v>
      </c>
      <c r="D142" s="47">
        <v>0.94205475805737993</v>
      </c>
    </row>
    <row r="143" spans="1:4">
      <c r="A143" s="57">
        <v>0.24377715973817682</v>
      </c>
      <c r="B143" s="45">
        <v>0.1420000000000001</v>
      </c>
      <c r="C143" s="46">
        <v>3.8726841344649263</v>
      </c>
      <c r="D143" s="47">
        <v>0.94407193886295937</v>
      </c>
    </row>
    <row r="144" spans="1:4">
      <c r="A144" s="57">
        <v>0.24430488883883092</v>
      </c>
      <c r="B144" s="45">
        <v>0.1430000000000001</v>
      </c>
      <c r="C144" s="46">
        <v>3.871717407223886</v>
      </c>
      <c r="D144" s="47">
        <v>0.94587949078719824</v>
      </c>
    </row>
    <row r="145" spans="1:4">
      <c r="A145" s="57">
        <v>0.24479830172894976</v>
      </c>
      <c r="B145" s="45">
        <v>0.1440000000000001</v>
      </c>
      <c r="C145" s="46">
        <v>3.8707856150690376</v>
      </c>
      <c r="D145" s="47">
        <v>0.94756174492574863</v>
      </c>
    </row>
    <row r="146" spans="1:4">
      <c r="A146" s="57">
        <v>0.24543797040097481</v>
      </c>
      <c r="B146" s="45">
        <v>0.1450000000000001</v>
      </c>
      <c r="C146" s="46">
        <v>3.8695426714529515</v>
      </c>
      <c r="D146" s="47">
        <v>0.94973269966137852</v>
      </c>
    </row>
    <row r="147" spans="1:4">
      <c r="A147" s="57">
        <v>0.2459420127621556</v>
      </c>
      <c r="B147" s="45">
        <v>0.1460000000000001</v>
      </c>
      <c r="C147" s="46">
        <v>3.8685325562783586</v>
      </c>
      <c r="D147" s="47">
        <v>0.95143468332702663</v>
      </c>
    </row>
    <row r="148" spans="1:4">
      <c r="A148" s="57">
        <v>0.24642858040623966</v>
      </c>
      <c r="B148" s="45">
        <v>0.1470000000000001</v>
      </c>
      <c r="C148" s="46">
        <v>3.8675368816477742</v>
      </c>
      <c r="D148" s="47">
        <v>0.95307162341323592</v>
      </c>
    </row>
    <row r="149" spans="1:4">
      <c r="A149" s="57">
        <v>0.24707075125024433</v>
      </c>
      <c r="B149" s="45">
        <v>0.1480000000000001</v>
      </c>
      <c r="C149" s="46">
        <v>3.8661866673180767</v>
      </c>
      <c r="D149" s="47">
        <v>0.95522164436795554</v>
      </c>
    </row>
    <row r="150" spans="1:4">
      <c r="A150" s="57">
        <v>0.24761243818808959</v>
      </c>
      <c r="B150" s="45">
        <v>0.1490000000000001</v>
      </c>
      <c r="C150" s="46">
        <v>3.8650160901636945</v>
      </c>
      <c r="D150" s="47">
        <v>0.95702605772162952</v>
      </c>
    </row>
    <row r="151" spans="1:4">
      <c r="A151" s="57">
        <v>0.24837029250172524</v>
      </c>
      <c r="B151" s="45">
        <v>0.15000000000000011</v>
      </c>
      <c r="C151" s="46">
        <v>3.8633407653033092</v>
      </c>
      <c r="D151" s="47">
        <v>0.95953907591222198</v>
      </c>
    </row>
    <row r="152" spans="1:4">
      <c r="A152" s="57">
        <v>0.24876371291610525</v>
      </c>
      <c r="B152" s="45">
        <v>0.15100000000000011</v>
      </c>
      <c r="C152" s="46">
        <v>3.8624506831715562</v>
      </c>
      <c r="D152" s="47">
        <v>0.9608375729011035</v>
      </c>
    </row>
    <row r="153" spans="1:4">
      <c r="A153" s="57">
        <v>0.24928521268816201</v>
      </c>
      <c r="B153" s="45">
        <v>0.15200000000000011</v>
      </c>
      <c r="C153" s="46">
        <v>3.8612502000452658</v>
      </c>
      <c r="D153" s="47">
        <v>0.96255257736049216</v>
      </c>
    </row>
    <row r="154" spans="1:4">
      <c r="A154" s="57">
        <v>0.24982858949554723</v>
      </c>
      <c r="B154" s="45">
        <v>0.15300000000000011</v>
      </c>
      <c r="C154" s="46">
        <v>3.8599770880022386</v>
      </c>
      <c r="D154" s="47">
        <v>0.964332631380729</v>
      </c>
    </row>
    <row r="155" spans="1:4">
      <c r="A155" s="57">
        <v>0.25052033784590066</v>
      </c>
      <c r="B155" s="45">
        <v>0.15400000000000011</v>
      </c>
      <c r="C155" s="46">
        <v>3.8583210710891405</v>
      </c>
      <c r="D155" s="47">
        <v>0.9665878982472087</v>
      </c>
    </row>
    <row r="156" spans="1:4">
      <c r="A156" s="57">
        <v>0.25108914353108758</v>
      </c>
      <c r="B156" s="45">
        <v>0.15500000000000011</v>
      </c>
      <c r="C156" s="46">
        <v>3.8569357474603141</v>
      </c>
      <c r="D156" s="47">
        <v>0.96843469348424527</v>
      </c>
    </row>
    <row r="157" spans="1:4">
      <c r="A157" s="57">
        <v>0.25168037293971335</v>
      </c>
      <c r="B157" s="45">
        <v>0.15600000000000011</v>
      </c>
      <c r="C157" s="46">
        <v>3.8554682125846784</v>
      </c>
      <c r="D157" s="47">
        <v>0.97034567760052182</v>
      </c>
    </row>
    <row r="158" spans="1:4">
      <c r="A158" s="57">
        <v>0.25226761006696952</v>
      </c>
      <c r="B158" s="45">
        <v>0.15700000000000011</v>
      </c>
      <c r="C158" s="46">
        <v>3.8539863253742577</v>
      </c>
      <c r="D158" s="47">
        <v>0.97223591953294597</v>
      </c>
    </row>
    <row r="159" spans="1:4">
      <c r="A159" s="57">
        <v>0.25284723244202606</v>
      </c>
      <c r="B159" s="45">
        <v>0.15800000000000011</v>
      </c>
      <c r="C159" s="46">
        <v>3.8525009582869205</v>
      </c>
      <c r="D159" s="47">
        <v>0.97409420528310109</v>
      </c>
    </row>
    <row r="160" spans="1:4">
      <c r="A160" s="57">
        <v>0.253449306390642</v>
      </c>
      <c r="B160" s="45">
        <v>0.15900000000000011</v>
      </c>
      <c r="C160" s="46">
        <v>3.8509334166156992</v>
      </c>
      <c r="D160" s="47">
        <v>0.97601640339779405</v>
      </c>
    </row>
    <row r="161" spans="1:4">
      <c r="A161" s="57">
        <v>0.25399066277783977</v>
      </c>
      <c r="B161" s="45">
        <v>0.16000000000000011</v>
      </c>
      <c r="C161" s="46">
        <v>3.8495057399632548</v>
      </c>
      <c r="D161" s="47">
        <v>0.97773851426036551</v>
      </c>
    </row>
    <row r="162" spans="1:4">
      <c r="A162" s="57">
        <v>0.25466423833716695</v>
      </c>
      <c r="B162" s="45">
        <v>0.16100000000000012</v>
      </c>
      <c r="C162" s="46">
        <v>3.847701456425475</v>
      </c>
      <c r="D162" s="47">
        <v>0.97987196074940142</v>
      </c>
    </row>
    <row r="163" spans="1:4">
      <c r="A163" s="57">
        <v>0.25502406075218464</v>
      </c>
      <c r="B163" s="45">
        <v>0.16200000000000012</v>
      </c>
      <c r="C163" s="46">
        <v>3.8467281585431126</v>
      </c>
      <c r="D163" s="47">
        <v>0.98100823560143813</v>
      </c>
    </row>
    <row r="164" spans="1:4">
      <c r="A164" s="57">
        <v>0.25558326062159448</v>
      </c>
      <c r="B164" s="45">
        <v>0.16300000000000012</v>
      </c>
      <c r="C164" s="46">
        <v>3.8451986865671866</v>
      </c>
      <c r="D164" s="47">
        <v>0.98276841805071391</v>
      </c>
    </row>
    <row r="165" spans="1:4">
      <c r="A165" s="57">
        <v>0.25627284374578346</v>
      </c>
      <c r="B165" s="45">
        <v>0.16400000000000012</v>
      </c>
      <c r="C165" s="46">
        <v>3.8432866709432125</v>
      </c>
      <c r="D165" s="47">
        <v>0.98493000449288215</v>
      </c>
    </row>
    <row r="166" spans="1:4">
      <c r="A166" s="57">
        <v>0.25695605902598156</v>
      </c>
      <c r="B166" s="45">
        <v>0.16500000000000012</v>
      </c>
      <c r="C166" s="46">
        <v>3.8413682146580781</v>
      </c>
      <c r="D166" s="47">
        <v>0.98706283770621039</v>
      </c>
    </row>
    <row r="167" spans="1:4">
      <c r="A167" s="57">
        <v>0.25744874252947464</v>
      </c>
      <c r="B167" s="45">
        <v>0.16600000000000012</v>
      </c>
      <c r="C167" s="46">
        <v>3.8399690359450549</v>
      </c>
      <c r="D167" s="47">
        <v>0.98859519965617337</v>
      </c>
    </row>
    <row r="168" spans="1:4">
      <c r="A168" s="57">
        <v>0.25820069585609901</v>
      </c>
      <c r="B168" s="45">
        <v>0.16700000000000012</v>
      </c>
      <c r="C168" s="46">
        <v>3.8378091613559739</v>
      </c>
      <c r="D168" s="47">
        <v>0.99092499602502426</v>
      </c>
    </row>
    <row r="169" spans="1:4">
      <c r="A169" s="57">
        <v>0.25879778762983136</v>
      </c>
      <c r="B169" s="45">
        <v>0.16800000000000012</v>
      </c>
      <c r="C169" s="46">
        <v>3.836074981117767</v>
      </c>
      <c r="D169" s="47">
        <v>0.99276771829542509</v>
      </c>
    </row>
    <row r="170" spans="1:4">
      <c r="A170" s="57">
        <v>0.25931907498929252</v>
      </c>
      <c r="B170" s="45">
        <v>0.16900000000000012</v>
      </c>
      <c r="C170" s="46">
        <v>3.8345463806387583</v>
      </c>
      <c r="D170" s="47">
        <v>0.9943710204307824</v>
      </c>
    </row>
    <row r="171" spans="1:4">
      <c r="A171" s="57">
        <v>0.26010478654031355</v>
      </c>
      <c r="B171" s="45">
        <v>0.17000000000000012</v>
      </c>
      <c r="C171" s="46">
        <v>3.8322191884476933</v>
      </c>
      <c r="D171" s="47">
        <v>0.99677855398688087</v>
      </c>
    </row>
    <row r="172" spans="1:4">
      <c r="A172" s="57">
        <v>0.2605553735897288</v>
      </c>
      <c r="B172" s="45">
        <v>0.17100000000000012</v>
      </c>
      <c r="C172" s="46">
        <v>3.8308704583965025</v>
      </c>
      <c r="D172" s="47">
        <v>0.99815388346135636</v>
      </c>
    </row>
    <row r="173" spans="1:4">
      <c r="A173" s="57">
        <v>0.26136748000985421</v>
      </c>
      <c r="B173" s="45">
        <v>0.17200000000000013</v>
      </c>
      <c r="C173" s="46">
        <v>3.8284167073856468</v>
      </c>
      <c r="D173" s="47">
        <v>1.0006236272370097</v>
      </c>
    </row>
    <row r="174" spans="1:4">
      <c r="A174" s="57">
        <v>0.26186556007936806</v>
      </c>
      <c r="B174" s="45">
        <v>0.17300000000000013</v>
      </c>
      <c r="C174" s="46">
        <v>3.8269036228795632</v>
      </c>
      <c r="D174" s="47">
        <v>1.0021342605751196</v>
      </c>
    </row>
    <row r="175" spans="1:4">
      <c r="A175" s="57">
        <v>0.26236595383048289</v>
      </c>
      <c r="B175" s="45">
        <v>0.17400000000000013</v>
      </c>
      <c r="C175" s="46">
        <v>3.825367532927173</v>
      </c>
      <c r="D175" s="47">
        <v>1.0036462015285987</v>
      </c>
    </row>
    <row r="176" spans="1:4">
      <c r="A176" s="57">
        <v>0.26302255680968828</v>
      </c>
      <c r="B176" s="45">
        <v>0.17500000000000013</v>
      </c>
      <c r="C176" s="46">
        <v>3.8233420603679726</v>
      </c>
      <c r="D176" s="47">
        <v>1.0056252042760057</v>
      </c>
    </row>
    <row r="177" spans="1:4">
      <c r="A177" s="57">
        <v>0.26379763093714559</v>
      </c>
      <c r="B177" s="45">
        <v>0.17600000000000013</v>
      </c>
      <c r="C177" s="46">
        <v>3.8209278233933763</v>
      </c>
      <c r="D177" s="47">
        <v>1.0079517077929969</v>
      </c>
    </row>
    <row r="178" spans="1:4">
      <c r="A178" s="57">
        <v>0.26417102878852489</v>
      </c>
      <c r="B178" s="45">
        <v>0.17700000000000013</v>
      </c>
      <c r="C178" s="46">
        <v>3.8197566906478673</v>
      </c>
      <c r="D178" s="47">
        <v>1.0090690546902981</v>
      </c>
    </row>
    <row r="179" spans="1:4">
      <c r="A179" s="57">
        <v>0.26482414113577823</v>
      </c>
      <c r="B179" s="45">
        <v>0.17800000000000013</v>
      </c>
      <c r="C179" s="46">
        <v>3.8176963738598828</v>
      </c>
      <c r="D179" s="47">
        <v>1.0110181633246182</v>
      </c>
    </row>
    <row r="180" spans="1:4">
      <c r="A180" s="57">
        <v>0.26566751626951346</v>
      </c>
      <c r="B180" s="45">
        <v>0.17900000000000013</v>
      </c>
      <c r="C180" s="46">
        <v>3.8150143039788551</v>
      </c>
      <c r="D180" s="47">
        <v>1.0135253746707291</v>
      </c>
    </row>
    <row r="181" spans="1:4">
      <c r="A181" s="57">
        <v>0.2661339800817914</v>
      </c>
      <c r="B181" s="45">
        <v>0.18000000000000013</v>
      </c>
      <c r="C181" s="46">
        <v>3.8135207974048786</v>
      </c>
      <c r="D181" s="47">
        <v>1.0149074679380472</v>
      </c>
    </row>
    <row r="182" spans="1:4">
      <c r="A182" s="57">
        <v>0.26693068830273647</v>
      </c>
      <c r="B182" s="45">
        <v>0.18100000000000013</v>
      </c>
      <c r="C182" s="46">
        <v>3.8109540105677424</v>
      </c>
      <c r="D182" s="47">
        <v>1.0172605771309216</v>
      </c>
    </row>
    <row r="183" spans="1:4">
      <c r="A183" s="57">
        <v>0.26764260664732936</v>
      </c>
      <c r="B183" s="45">
        <v>0.18200000000000013</v>
      </c>
      <c r="C183" s="46">
        <v>3.8086406828184449</v>
      </c>
      <c r="D183" s="47">
        <v>1.0193545201325929</v>
      </c>
    </row>
    <row r="184" spans="1:4">
      <c r="A184" s="57">
        <v>0.26822305034889832</v>
      </c>
      <c r="B184" s="45">
        <v>0.18300000000000013</v>
      </c>
      <c r="C184" s="46">
        <v>3.8067484721280791</v>
      </c>
      <c r="D184" s="47">
        <v>1.0210576871052015</v>
      </c>
    </row>
    <row r="185" spans="1:4">
      <c r="A185" s="57">
        <v>0.26891971931651959</v>
      </c>
      <c r="B185" s="45">
        <v>0.18400000000000014</v>
      </c>
      <c r="C185" s="46">
        <v>3.8044602902963685</v>
      </c>
      <c r="D185" s="47">
        <v>1.023094393417344</v>
      </c>
    </row>
    <row r="186" spans="1:4">
      <c r="A186" s="57">
        <v>0.26945783042995686</v>
      </c>
      <c r="B186" s="45">
        <v>0.18500000000000014</v>
      </c>
      <c r="C186" s="46">
        <v>3.8026884706177997</v>
      </c>
      <c r="D186" s="47">
        <v>1.0246641850936831</v>
      </c>
    </row>
    <row r="187" spans="1:4">
      <c r="A187" s="57">
        <v>0.27002467022366194</v>
      </c>
      <c r="B187" s="45">
        <v>0.18600000000000014</v>
      </c>
      <c r="C187" s="46">
        <v>3.8008095724194875</v>
      </c>
      <c r="D187" s="47">
        <v>1.0263123513755095</v>
      </c>
    </row>
    <row r="188" spans="1:4">
      <c r="A188" s="57">
        <v>0.27075220363812608</v>
      </c>
      <c r="B188" s="45">
        <v>0.18700000000000014</v>
      </c>
      <c r="C188" s="46">
        <v>3.7983887988283813</v>
      </c>
      <c r="D188" s="47">
        <v>1.0284221375571589</v>
      </c>
    </row>
    <row r="189" spans="1:4">
      <c r="A189" s="57">
        <v>0.27136109886161552</v>
      </c>
      <c r="B189" s="45">
        <v>0.18800000000000014</v>
      </c>
      <c r="C189" s="46">
        <v>3.7963518376061609</v>
      </c>
      <c r="D189" s="47">
        <v>1.0301822063181212</v>
      </c>
    </row>
    <row r="190" spans="1:4">
      <c r="A190" s="57">
        <v>0.27184365239222641</v>
      </c>
      <c r="B190" s="45">
        <v>0.18900000000000014</v>
      </c>
      <c r="C190" s="46">
        <v>3.7947313384621171</v>
      </c>
      <c r="D190" s="47">
        <v>1.0315736268947839</v>
      </c>
    </row>
    <row r="191" spans="1:4">
      <c r="A191" s="57">
        <v>0.27268077998393009</v>
      </c>
      <c r="B191" s="45">
        <v>0.19000000000000014</v>
      </c>
      <c r="C191" s="46">
        <v>3.7919076179416793</v>
      </c>
      <c r="D191" s="47">
        <v>1.0339803268873435</v>
      </c>
    </row>
    <row r="192" spans="1:4">
      <c r="A192" s="57">
        <v>0.27333500400973926</v>
      </c>
      <c r="B192" s="45">
        <v>0.19100000000000014</v>
      </c>
      <c r="C192" s="46">
        <v>3.7896896723497959</v>
      </c>
      <c r="D192" s="47">
        <v>1.035854841787399</v>
      </c>
    </row>
    <row r="193" spans="1:4">
      <c r="A193" s="57">
        <v>0.27399974063250099</v>
      </c>
      <c r="B193" s="45">
        <v>0.19200000000000014</v>
      </c>
      <c r="C193" s="46">
        <v>3.7874284916984866</v>
      </c>
      <c r="D193" s="47">
        <v>1.0377544243895298</v>
      </c>
    </row>
    <row r="194" spans="1:4">
      <c r="A194" s="57">
        <v>0.27455743342621275</v>
      </c>
      <c r="B194" s="45">
        <v>0.19300000000000014</v>
      </c>
      <c r="C194" s="46">
        <v>3.785522476528683</v>
      </c>
      <c r="D194" s="47">
        <v>1.0393433353329558</v>
      </c>
    </row>
    <row r="195" spans="1:4">
      <c r="A195" s="57">
        <v>0.27535654173475532</v>
      </c>
      <c r="B195" s="45">
        <v>0.19400000000000014</v>
      </c>
      <c r="C195" s="46">
        <v>3.7827849529508812</v>
      </c>
      <c r="D195" s="47">
        <v>1.0416145827708239</v>
      </c>
    </row>
    <row r="196" spans="1:4">
      <c r="A196" s="57">
        <v>0.27593057536282578</v>
      </c>
      <c r="B196" s="45">
        <v>0.19500000000000015</v>
      </c>
      <c r="C196" s="46">
        <v>3.7808107023385271</v>
      </c>
      <c r="D196" s="47">
        <v>1.0432412724341991</v>
      </c>
    </row>
    <row r="197" spans="1:4">
      <c r="A197" s="57">
        <v>0.27664338848034464</v>
      </c>
      <c r="B197" s="45">
        <v>0.19600000000000015</v>
      </c>
      <c r="C197" s="46">
        <v>3.7783501237017583</v>
      </c>
      <c r="D197" s="47">
        <v>1.0452555810859836</v>
      </c>
    </row>
    <row r="198" spans="1:4">
      <c r="A198" s="57">
        <v>0.27736806577213985</v>
      </c>
      <c r="B198" s="45">
        <v>0.19700000000000015</v>
      </c>
      <c r="C198" s="46">
        <v>3.7758385980118185</v>
      </c>
      <c r="D198" s="47">
        <v>1.0472970485983264</v>
      </c>
    </row>
    <row r="199" spans="1:4">
      <c r="A199" s="57">
        <v>0.2779998818823291</v>
      </c>
      <c r="B199" s="45">
        <v>0.19800000000000015</v>
      </c>
      <c r="C199" s="46">
        <v>3.7736445195526973</v>
      </c>
      <c r="D199" s="47">
        <v>1.0490727307015484</v>
      </c>
    </row>
    <row r="200" spans="1:4">
      <c r="A200" s="58">
        <v>0.27861513091553147</v>
      </c>
      <c r="B200" s="48">
        <v>0.19900000000000015</v>
      </c>
      <c r="C200" s="49">
        <v>3.7714997366236811</v>
      </c>
      <c r="D200" s="50">
        <v>1.0507968928672993</v>
      </c>
    </row>
    <row r="202" spans="1:4">
      <c r="A202" s="1" t="s">
        <v>13</v>
      </c>
      <c r="C202" s="51">
        <f>MAX(C2:C200)</f>
        <v>3.8842782689360544</v>
      </c>
      <c r="D202" s="52">
        <f>MATCH(C202,C2:C200,0)</f>
        <v>120</v>
      </c>
    </row>
    <row r="203" spans="1:4">
      <c r="A203" s="53">
        <f>INDEX(A2:A200,$D$202)</f>
        <v>0.23237993595243175</v>
      </c>
      <c r="B203" s="53">
        <f t="shared" ref="B203:D203" si="0">INDEX(B2:B200,$D$202)</f>
        <v>0.12000000000000009</v>
      </c>
      <c r="C203" s="51">
        <f t="shared" si="0"/>
        <v>3.8842782689360544</v>
      </c>
      <c r="D203" s="53">
        <f t="shared" si="0"/>
        <v>0.90262833535678277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Portfolio</vt:lpstr>
      <vt:lpstr>Time series</vt:lpstr>
      <vt:lpstr>Returns</vt:lpstr>
      <vt:lpstr>Covariance</vt:lpstr>
      <vt:lpstr>Efficient frontier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2021-08-22T06:54:10Z</dcterms:created>
  <dcterms:modified xsi:type="dcterms:W3CDTF">2021-12-20T18:17:31Z</dcterms:modified>
</cp:coreProperties>
</file>